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Laxman\Desktop\"/>
    </mc:Choice>
  </mc:AlternateContent>
  <xr:revisionPtr revIDLastSave="0" documentId="13_ncr:1_{92A5162C-2E2F-4B10-ACF2-C079CCA7FFB0}" xr6:coauthVersionLast="47" xr6:coauthVersionMax="47" xr10:uidLastSave="{00000000-0000-0000-0000-000000000000}"/>
  <bookViews>
    <workbookView xWindow="-108" yWindow="-108" windowWidth="23256" windowHeight="12456" activeTab="3" xr2:uid="{46673017-9DDF-4692-B385-113150C12610}"/>
  </bookViews>
  <sheets>
    <sheet name="Sheet2" sheetId="3" r:id="rId1"/>
    <sheet name="Agricultural_Crop_Yield" sheetId="2" r:id="rId2"/>
    <sheet name="Dashboard" sheetId="1" r:id="rId3"/>
    <sheet name="Sheet3" sheetId="13" r:id="rId4"/>
    <sheet name="Sheet4" sheetId="14" r:id="rId5"/>
    <sheet name="Pivot Table 9" sheetId="11" r:id="rId6"/>
    <sheet name="Pivot Table 4" sheetId="7" r:id="rId7"/>
    <sheet name="Pivot Table 6" sheetId="9" r:id="rId8"/>
    <sheet name="Sheet1" sheetId="12" r:id="rId9"/>
    <sheet name="Pivot Table 5" sheetId="8" r:id="rId10"/>
    <sheet name="Pivot Table 8" sheetId="10" r:id="rId11"/>
  </sheets>
  <definedNames>
    <definedName name="ExternalData_1" localSheetId="1" hidden="1">Agricultural_Crop_Yield!$A$1:$P$541</definedName>
    <definedName name="Slicer_Crop_Name">#N/A</definedName>
    <definedName name="Slicer_Irrigation_Type">#N/A</definedName>
    <definedName name="Slicer_Season">#N/A</definedName>
    <definedName name="Slicer_State">#N/A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R2" i="2"/>
  <c r="S2" i="2" s="1"/>
  <c r="R3" i="2"/>
  <c r="S3" i="2" s="1"/>
  <c r="R4" i="2"/>
  <c r="S4" i="2" s="1"/>
  <c r="R5" i="2"/>
  <c r="S5" i="2" s="1"/>
  <c r="R6" i="2"/>
  <c r="S6" i="2" s="1"/>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DD6699-3733-42DB-A494-72BD54E75837}" keepAlive="1" name="Query - Agricultural_Crop_Yield" description="Connection to the 'Agricultural_Crop_Yield' query in the workbook." type="5" refreshedVersion="8" background="1" saveData="1">
    <dbPr connection="Provider=Microsoft.Mashup.OleDb.1;Data Source=$Workbook$;Location=Agricultural_Crop_Yield;Extended Properties=&quot;&quot;" command="SELECT * FROM [Agricultural_Crop_Yield]"/>
  </connection>
</connections>
</file>

<file path=xl/sharedStrings.xml><?xml version="1.0" encoding="utf-8"?>
<sst xmlns="http://schemas.openxmlformats.org/spreadsheetml/2006/main" count="4134" uniqueCount="645">
  <si>
    <t>Crop ID</t>
  </si>
  <si>
    <t>Date</t>
  </si>
  <si>
    <t>Year</t>
  </si>
  <si>
    <t>State</t>
  </si>
  <si>
    <t>District</t>
  </si>
  <si>
    <t>Season</t>
  </si>
  <si>
    <t>Crop Name</t>
  </si>
  <si>
    <t>Area (Hectares)</t>
  </si>
  <si>
    <t>Production (Tonnes)</t>
  </si>
  <si>
    <t>Yield (Kg/Ha)</t>
  </si>
  <si>
    <t>Irrigation Type</t>
  </si>
  <si>
    <t>Fertilizer Type</t>
  </si>
  <si>
    <t>Fertilizer Used (Kg)</t>
  </si>
  <si>
    <t>Rainfall (mm)</t>
  </si>
  <si>
    <t>Soil Type</t>
  </si>
  <si>
    <t>Temperature (Celsius)</t>
  </si>
  <si>
    <t>CID1</t>
  </si>
  <si>
    <t>Uttar Pradesh</t>
  </si>
  <si>
    <t>Lucknow</t>
  </si>
  <si>
    <t>Zaid</t>
  </si>
  <si>
    <t>Maize</t>
  </si>
  <si>
    <t>Canal</t>
  </si>
  <si>
    <t>Urea</t>
  </si>
  <si>
    <t>Black</t>
  </si>
  <si>
    <t>CID2</t>
  </si>
  <si>
    <t>Punjab</t>
  </si>
  <si>
    <t>Ludhiana</t>
  </si>
  <si>
    <t>Pulses</t>
  </si>
  <si>
    <t>Drip</t>
  </si>
  <si>
    <t>Compost</t>
  </si>
  <si>
    <t>CID3</t>
  </si>
  <si>
    <t>Maharashtra</t>
  </si>
  <si>
    <t>Pune</t>
  </si>
  <si>
    <t>Kharif</t>
  </si>
  <si>
    <t>Rainfed</t>
  </si>
  <si>
    <t>CID4</t>
  </si>
  <si>
    <t>Karnataka</t>
  </si>
  <si>
    <t>Bangalore</t>
  </si>
  <si>
    <t>Rabi</t>
  </si>
  <si>
    <t>Cotton</t>
  </si>
  <si>
    <t>Borewell</t>
  </si>
  <si>
    <t>DAP</t>
  </si>
  <si>
    <t>Red</t>
  </si>
  <si>
    <t>CID5</t>
  </si>
  <si>
    <t>West Bengal</t>
  </si>
  <si>
    <t>Kolkata</t>
  </si>
  <si>
    <t>Sugarcane</t>
  </si>
  <si>
    <t>Vermicompost</t>
  </si>
  <si>
    <t>CID6</t>
  </si>
  <si>
    <t>NPK</t>
  </si>
  <si>
    <t>CID7</t>
  </si>
  <si>
    <t>Mysore</t>
  </si>
  <si>
    <t>Laterite</t>
  </si>
  <si>
    <t>CID8</t>
  </si>
  <si>
    <t>Varanasi</t>
  </si>
  <si>
    <t>CID9</t>
  </si>
  <si>
    <t>Rice</t>
  </si>
  <si>
    <t>CID10</t>
  </si>
  <si>
    <t>CID11</t>
  </si>
  <si>
    <t>Bihar</t>
  </si>
  <si>
    <t>Patna</t>
  </si>
  <si>
    <t>Sandy</t>
  </si>
  <si>
    <t>CID12</t>
  </si>
  <si>
    <t>Gaya</t>
  </si>
  <si>
    <t>Wheat</t>
  </si>
  <si>
    <t>CID13</t>
  </si>
  <si>
    <t>CID14</t>
  </si>
  <si>
    <t>Darjeeling</t>
  </si>
  <si>
    <t>CID15</t>
  </si>
  <si>
    <t>Patiala</t>
  </si>
  <si>
    <t>Alluvial</t>
  </si>
  <si>
    <t>CID16</t>
  </si>
  <si>
    <t>Kanpur</t>
  </si>
  <si>
    <t>CID17</t>
  </si>
  <si>
    <t>CID18</t>
  </si>
  <si>
    <t>CID19</t>
  </si>
  <si>
    <t>CID20</t>
  </si>
  <si>
    <t>Hubli</t>
  </si>
  <si>
    <t>CID21</t>
  </si>
  <si>
    <t>CID22</t>
  </si>
  <si>
    <t>CID23</t>
  </si>
  <si>
    <t>CID24</t>
  </si>
  <si>
    <t>Nagpur</t>
  </si>
  <si>
    <t>CID25</t>
  </si>
  <si>
    <t>CID26</t>
  </si>
  <si>
    <t>CID27</t>
  </si>
  <si>
    <t>CID28</t>
  </si>
  <si>
    <t>Amritsar</t>
  </si>
  <si>
    <t>CID29</t>
  </si>
  <si>
    <t>CID30</t>
  </si>
  <si>
    <t>CID31</t>
  </si>
  <si>
    <t>CID32</t>
  </si>
  <si>
    <t>CID33</t>
  </si>
  <si>
    <t>Bhagalpur</t>
  </si>
  <si>
    <t>CID34</t>
  </si>
  <si>
    <t>CID35</t>
  </si>
  <si>
    <t>CID36</t>
  </si>
  <si>
    <t>CID37</t>
  </si>
  <si>
    <t>CID38</t>
  </si>
  <si>
    <t>Howrah</t>
  </si>
  <si>
    <t>CID39</t>
  </si>
  <si>
    <t>CID40</t>
  </si>
  <si>
    <t>CID41</t>
  </si>
  <si>
    <t>Haryana</t>
  </si>
  <si>
    <t>Gurgaon</t>
  </si>
  <si>
    <t>CID42</t>
  </si>
  <si>
    <t>CID43</t>
  </si>
  <si>
    <t>Faridabad</t>
  </si>
  <si>
    <t>CID44</t>
  </si>
  <si>
    <t>CID45</t>
  </si>
  <si>
    <t>CID46</t>
  </si>
  <si>
    <t>CID47</t>
  </si>
  <si>
    <t>CID48</t>
  </si>
  <si>
    <t>CID49</t>
  </si>
  <si>
    <t>CID50</t>
  </si>
  <si>
    <t>CID51</t>
  </si>
  <si>
    <t>CID52</t>
  </si>
  <si>
    <t>Mumbai</t>
  </si>
  <si>
    <t>CID53</t>
  </si>
  <si>
    <t>CID54</t>
  </si>
  <si>
    <t>CID55</t>
  </si>
  <si>
    <t>CID56</t>
  </si>
  <si>
    <t>CID57</t>
  </si>
  <si>
    <t>CID58</t>
  </si>
  <si>
    <t>CID59</t>
  </si>
  <si>
    <t>CID60</t>
  </si>
  <si>
    <t>CID61</t>
  </si>
  <si>
    <t>CID62</t>
  </si>
  <si>
    <t>CID63</t>
  </si>
  <si>
    <t>CID64</t>
  </si>
  <si>
    <t>CID65</t>
  </si>
  <si>
    <t>CID66</t>
  </si>
  <si>
    <t>CID67</t>
  </si>
  <si>
    <t>CID68</t>
  </si>
  <si>
    <t>CID69</t>
  </si>
  <si>
    <t>CID70</t>
  </si>
  <si>
    <t>CID71</t>
  </si>
  <si>
    <t>CID72</t>
  </si>
  <si>
    <t>CID73</t>
  </si>
  <si>
    <t>CID74</t>
  </si>
  <si>
    <t>CID75</t>
  </si>
  <si>
    <t>CID76</t>
  </si>
  <si>
    <t>CID77</t>
  </si>
  <si>
    <t>CID78</t>
  </si>
  <si>
    <t>CID79</t>
  </si>
  <si>
    <t>CID80</t>
  </si>
  <si>
    <t>CID81</t>
  </si>
  <si>
    <t>CID82</t>
  </si>
  <si>
    <t>CID83</t>
  </si>
  <si>
    <t>CID84</t>
  </si>
  <si>
    <t>CID85</t>
  </si>
  <si>
    <t>CID86</t>
  </si>
  <si>
    <t>CID87</t>
  </si>
  <si>
    <t>CID88</t>
  </si>
  <si>
    <t>CID89</t>
  </si>
  <si>
    <t>CID90</t>
  </si>
  <si>
    <t>CID91</t>
  </si>
  <si>
    <t>CID92</t>
  </si>
  <si>
    <t>CID93</t>
  </si>
  <si>
    <t>CID94</t>
  </si>
  <si>
    <t>CID95</t>
  </si>
  <si>
    <t>CID96</t>
  </si>
  <si>
    <t>CID97</t>
  </si>
  <si>
    <t>CID98</t>
  </si>
  <si>
    <t>CID99</t>
  </si>
  <si>
    <t>CID100</t>
  </si>
  <si>
    <t>CID101</t>
  </si>
  <si>
    <t>CID102</t>
  </si>
  <si>
    <t>CID103</t>
  </si>
  <si>
    <t>CID104</t>
  </si>
  <si>
    <t>CID105</t>
  </si>
  <si>
    <t>CID106</t>
  </si>
  <si>
    <t>CID107</t>
  </si>
  <si>
    <t>CID108</t>
  </si>
  <si>
    <t>CID109</t>
  </si>
  <si>
    <t>CID110</t>
  </si>
  <si>
    <t>CID111</t>
  </si>
  <si>
    <t>CID112</t>
  </si>
  <si>
    <t>CID113</t>
  </si>
  <si>
    <t>CID114</t>
  </si>
  <si>
    <t>CID115</t>
  </si>
  <si>
    <t>CID116</t>
  </si>
  <si>
    <t>CID117</t>
  </si>
  <si>
    <t>CID118</t>
  </si>
  <si>
    <t>CID119</t>
  </si>
  <si>
    <t>CID120</t>
  </si>
  <si>
    <t>CID121</t>
  </si>
  <si>
    <t>CID122</t>
  </si>
  <si>
    <t>CID123</t>
  </si>
  <si>
    <t>CID124</t>
  </si>
  <si>
    <t>CID125</t>
  </si>
  <si>
    <t>CID126</t>
  </si>
  <si>
    <t>CID127</t>
  </si>
  <si>
    <t>CID128</t>
  </si>
  <si>
    <t>CID129</t>
  </si>
  <si>
    <t>CID130</t>
  </si>
  <si>
    <t>CID131</t>
  </si>
  <si>
    <t>CID132</t>
  </si>
  <si>
    <t>CID133</t>
  </si>
  <si>
    <t>CID134</t>
  </si>
  <si>
    <t>CID135</t>
  </si>
  <si>
    <t>CID136</t>
  </si>
  <si>
    <t>CID137</t>
  </si>
  <si>
    <t>CID138</t>
  </si>
  <si>
    <t>CID139</t>
  </si>
  <si>
    <t>CID140</t>
  </si>
  <si>
    <t>CID141</t>
  </si>
  <si>
    <t>CID142</t>
  </si>
  <si>
    <t>CID143</t>
  </si>
  <si>
    <t>CID144</t>
  </si>
  <si>
    <t>CID145</t>
  </si>
  <si>
    <t>CID146</t>
  </si>
  <si>
    <t>CID147</t>
  </si>
  <si>
    <t>CID148</t>
  </si>
  <si>
    <t>CID149</t>
  </si>
  <si>
    <t>CID150</t>
  </si>
  <si>
    <t>CID151</t>
  </si>
  <si>
    <t>CID152</t>
  </si>
  <si>
    <t>CID153</t>
  </si>
  <si>
    <t>CID154</t>
  </si>
  <si>
    <t>CID155</t>
  </si>
  <si>
    <t>CID156</t>
  </si>
  <si>
    <t>CID157</t>
  </si>
  <si>
    <t>CID158</t>
  </si>
  <si>
    <t>CID159</t>
  </si>
  <si>
    <t>CID160</t>
  </si>
  <si>
    <t>CID161</t>
  </si>
  <si>
    <t>CID162</t>
  </si>
  <si>
    <t>Hisar</t>
  </si>
  <si>
    <t>CID163</t>
  </si>
  <si>
    <t>CID164</t>
  </si>
  <si>
    <t>CID165</t>
  </si>
  <si>
    <t>CID166</t>
  </si>
  <si>
    <t>CID167</t>
  </si>
  <si>
    <t>CID168</t>
  </si>
  <si>
    <t>CID169</t>
  </si>
  <si>
    <t>CID170</t>
  </si>
  <si>
    <t>CID171</t>
  </si>
  <si>
    <t>CID172</t>
  </si>
  <si>
    <t>CID173</t>
  </si>
  <si>
    <t>CID174</t>
  </si>
  <si>
    <t>CID175</t>
  </si>
  <si>
    <t>CID176</t>
  </si>
  <si>
    <t>CID177</t>
  </si>
  <si>
    <t>CID178</t>
  </si>
  <si>
    <t>CID179</t>
  </si>
  <si>
    <t>CID180</t>
  </si>
  <si>
    <t>CID181</t>
  </si>
  <si>
    <t>CID182</t>
  </si>
  <si>
    <t>CID183</t>
  </si>
  <si>
    <t>CID184</t>
  </si>
  <si>
    <t>CID185</t>
  </si>
  <si>
    <t>CID186</t>
  </si>
  <si>
    <t>CID187</t>
  </si>
  <si>
    <t>CID188</t>
  </si>
  <si>
    <t>CID189</t>
  </si>
  <si>
    <t>CID190</t>
  </si>
  <si>
    <t>CID191</t>
  </si>
  <si>
    <t>CID192</t>
  </si>
  <si>
    <t>CID193</t>
  </si>
  <si>
    <t>CID194</t>
  </si>
  <si>
    <t>CID195</t>
  </si>
  <si>
    <t>CID196</t>
  </si>
  <si>
    <t>CID197</t>
  </si>
  <si>
    <t>CID198</t>
  </si>
  <si>
    <t>CID199</t>
  </si>
  <si>
    <t>CID200</t>
  </si>
  <si>
    <t>CID201</t>
  </si>
  <si>
    <t>CID202</t>
  </si>
  <si>
    <t>CID203</t>
  </si>
  <si>
    <t>CID204</t>
  </si>
  <si>
    <t>CID205</t>
  </si>
  <si>
    <t>CID206</t>
  </si>
  <si>
    <t>CID207</t>
  </si>
  <si>
    <t>CID208</t>
  </si>
  <si>
    <t>CID209</t>
  </si>
  <si>
    <t>CID210</t>
  </si>
  <si>
    <t>CID211</t>
  </si>
  <si>
    <t>CID212</t>
  </si>
  <si>
    <t>CID213</t>
  </si>
  <si>
    <t>CID214</t>
  </si>
  <si>
    <t>CID215</t>
  </si>
  <si>
    <t>CID216</t>
  </si>
  <si>
    <t>CID217</t>
  </si>
  <si>
    <t>CID218</t>
  </si>
  <si>
    <t>CID219</t>
  </si>
  <si>
    <t>CID220</t>
  </si>
  <si>
    <t>CID221</t>
  </si>
  <si>
    <t>CID222</t>
  </si>
  <si>
    <t>CID223</t>
  </si>
  <si>
    <t>CID224</t>
  </si>
  <si>
    <t>CID225</t>
  </si>
  <si>
    <t>CID226</t>
  </si>
  <si>
    <t>CID227</t>
  </si>
  <si>
    <t>CID228</t>
  </si>
  <si>
    <t>CID229</t>
  </si>
  <si>
    <t>CID230</t>
  </si>
  <si>
    <t>CID231</t>
  </si>
  <si>
    <t>CID232</t>
  </si>
  <si>
    <t>CID233</t>
  </si>
  <si>
    <t>CID234</t>
  </si>
  <si>
    <t>CID235</t>
  </si>
  <si>
    <t>CID236</t>
  </si>
  <si>
    <t>CID237</t>
  </si>
  <si>
    <t>CID238</t>
  </si>
  <si>
    <t>CID239</t>
  </si>
  <si>
    <t>CID240</t>
  </si>
  <si>
    <t>CID241</t>
  </si>
  <si>
    <t>CID242</t>
  </si>
  <si>
    <t>CID243</t>
  </si>
  <si>
    <t>CID244</t>
  </si>
  <si>
    <t>CID245</t>
  </si>
  <si>
    <t>CID246</t>
  </si>
  <si>
    <t>CID247</t>
  </si>
  <si>
    <t>CID248</t>
  </si>
  <si>
    <t>CID249</t>
  </si>
  <si>
    <t>CID250</t>
  </si>
  <si>
    <t>CID251</t>
  </si>
  <si>
    <t>CID252</t>
  </si>
  <si>
    <t>CID253</t>
  </si>
  <si>
    <t>CID254</t>
  </si>
  <si>
    <t>CID255</t>
  </si>
  <si>
    <t>CID256</t>
  </si>
  <si>
    <t>CID257</t>
  </si>
  <si>
    <t>CID258</t>
  </si>
  <si>
    <t>CID259</t>
  </si>
  <si>
    <t>CID260</t>
  </si>
  <si>
    <t>CID261</t>
  </si>
  <si>
    <t>CID262</t>
  </si>
  <si>
    <t>CID263</t>
  </si>
  <si>
    <t>CID264</t>
  </si>
  <si>
    <t>CID265</t>
  </si>
  <si>
    <t>CID266</t>
  </si>
  <si>
    <t>CID267</t>
  </si>
  <si>
    <t>CID268</t>
  </si>
  <si>
    <t>CID269</t>
  </si>
  <si>
    <t>CID270</t>
  </si>
  <si>
    <t>CID271</t>
  </si>
  <si>
    <t>CID272</t>
  </si>
  <si>
    <t>CID273</t>
  </si>
  <si>
    <t>CID274</t>
  </si>
  <si>
    <t>CID275</t>
  </si>
  <si>
    <t>CID276</t>
  </si>
  <si>
    <t>CID277</t>
  </si>
  <si>
    <t>CID278</t>
  </si>
  <si>
    <t>CID279</t>
  </si>
  <si>
    <t>CID280</t>
  </si>
  <si>
    <t>CID281</t>
  </si>
  <si>
    <t>CID282</t>
  </si>
  <si>
    <t>CID283</t>
  </si>
  <si>
    <t>CID284</t>
  </si>
  <si>
    <t>CID285</t>
  </si>
  <si>
    <t>CID286</t>
  </si>
  <si>
    <t>CID287</t>
  </si>
  <si>
    <t>CID288</t>
  </si>
  <si>
    <t>CID289</t>
  </si>
  <si>
    <t>CID290</t>
  </si>
  <si>
    <t>CID291</t>
  </si>
  <si>
    <t>CID292</t>
  </si>
  <si>
    <t>CID293</t>
  </si>
  <si>
    <t>CID294</t>
  </si>
  <si>
    <t>CID295</t>
  </si>
  <si>
    <t>CID296</t>
  </si>
  <si>
    <t>CID297</t>
  </si>
  <si>
    <t>CID298</t>
  </si>
  <si>
    <t>CID299</t>
  </si>
  <si>
    <t>CID300</t>
  </si>
  <si>
    <t>CID301</t>
  </si>
  <si>
    <t>CID302</t>
  </si>
  <si>
    <t>CID303</t>
  </si>
  <si>
    <t>CID304</t>
  </si>
  <si>
    <t>CID305</t>
  </si>
  <si>
    <t>CID306</t>
  </si>
  <si>
    <t>CID307</t>
  </si>
  <si>
    <t>CID308</t>
  </si>
  <si>
    <t>CID309</t>
  </si>
  <si>
    <t>CID310</t>
  </si>
  <si>
    <t>CID311</t>
  </si>
  <si>
    <t>CID312</t>
  </si>
  <si>
    <t>CID313</t>
  </si>
  <si>
    <t>CID314</t>
  </si>
  <si>
    <t>CID315</t>
  </si>
  <si>
    <t>CID316</t>
  </si>
  <si>
    <t>CID317</t>
  </si>
  <si>
    <t>CID318</t>
  </si>
  <si>
    <t>CID319</t>
  </si>
  <si>
    <t>CID320</t>
  </si>
  <si>
    <t>CID321</t>
  </si>
  <si>
    <t>CID322</t>
  </si>
  <si>
    <t>CID323</t>
  </si>
  <si>
    <t>CID324</t>
  </si>
  <si>
    <t>CID325</t>
  </si>
  <si>
    <t>CID326</t>
  </si>
  <si>
    <t>CID327</t>
  </si>
  <si>
    <t>CID328</t>
  </si>
  <si>
    <t>CID329</t>
  </si>
  <si>
    <t>CID330</t>
  </si>
  <si>
    <t>CID331</t>
  </si>
  <si>
    <t>CID332</t>
  </si>
  <si>
    <t>CID333</t>
  </si>
  <si>
    <t>CID334</t>
  </si>
  <si>
    <t>CID335</t>
  </si>
  <si>
    <t>CID336</t>
  </si>
  <si>
    <t>CID337</t>
  </si>
  <si>
    <t>CID338</t>
  </si>
  <si>
    <t>CID339</t>
  </si>
  <si>
    <t>CID340</t>
  </si>
  <si>
    <t>CID341</t>
  </si>
  <si>
    <t>CID342</t>
  </si>
  <si>
    <t>CID343</t>
  </si>
  <si>
    <t>CID344</t>
  </si>
  <si>
    <t>CID345</t>
  </si>
  <si>
    <t>CID346</t>
  </si>
  <si>
    <t>CID347</t>
  </si>
  <si>
    <t>CID348</t>
  </si>
  <si>
    <t>CID349</t>
  </si>
  <si>
    <t>CID350</t>
  </si>
  <si>
    <t>CID351</t>
  </si>
  <si>
    <t>CID352</t>
  </si>
  <si>
    <t>CID353</t>
  </si>
  <si>
    <t>CID354</t>
  </si>
  <si>
    <t>CID355</t>
  </si>
  <si>
    <t>CID356</t>
  </si>
  <si>
    <t>CID357</t>
  </si>
  <si>
    <t>CID358</t>
  </si>
  <si>
    <t>CID359</t>
  </si>
  <si>
    <t>CID360</t>
  </si>
  <si>
    <t>CID361</t>
  </si>
  <si>
    <t>CID362</t>
  </si>
  <si>
    <t>CID363</t>
  </si>
  <si>
    <t>CID364</t>
  </si>
  <si>
    <t>CID365</t>
  </si>
  <si>
    <t>CID366</t>
  </si>
  <si>
    <t>CID367</t>
  </si>
  <si>
    <t>CID368</t>
  </si>
  <si>
    <t>CID369</t>
  </si>
  <si>
    <t>CID370</t>
  </si>
  <si>
    <t>CID371</t>
  </si>
  <si>
    <t>CID372</t>
  </si>
  <si>
    <t>CID373</t>
  </si>
  <si>
    <t>CID374</t>
  </si>
  <si>
    <t>CID375</t>
  </si>
  <si>
    <t>CID376</t>
  </si>
  <si>
    <t>CID377</t>
  </si>
  <si>
    <t>CID378</t>
  </si>
  <si>
    <t>CID379</t>
  </si>
  <si>
    <t>CID380</t>
  </si>
  <si>
    <t>CID381</t>
  </si>
  <si>
    <t>CID382</t>
  </si>
  <si>
    <t>CID383</t>
  </si>
  <si>
    <t>CID384</t>
  </si>
  <si>
    <t>CID385</t>
  </si>
  <si>
    <t>CID386</t>
  </si>
  <si>
    <t>CID387</t>
  </si>
  <si>
    <t>CID388</t>
  </si>
  <si>
    <t>CID389</t>
  </si>
  <si>
    <t>CID390</t>
  </si>
  <si>
    <t>CID391</t>
  </si>
  <si>
    <t>CID392</t>
  </si>
  <si>
    <t>CID393</t>
  </si>
  <si>
    <t>CID394</t>
  </si>
  <si>
    <t>CID395</t>
  </si>
  <si>
    <t>CID396</t>
  </si>
  <si>
    <t>CID397</t>
  </si>
  <si>
    <t>CID398</t>
  </si>
  <si>
    <t>CID399</t>
  </si>
  <si>
    <t>CID400</t>
  </si>
  <si>
    <t>CID401</t>
  </si>
  <si>
    <t>CID402</t>
  </si>
  <si>
    <t>CID403</t>
  </si>
  <si>
    <t>CID404</t>
  </si>
  <si>
    <t>CID405</t>
  </si>
  <si>
    <t>CID406</t>
  </si>
  <si>
    <t>CID407</t>
  </si>
  <si>
    <t>CID408</t>
  </si>
  <si>
    <t>CID409</t>
  </si>
  <si>
    <t>CID410</t>
  </si>
  <si>
    <t>CID411</t>
  </si>
  <si>
    <t>CID412</t>
  </si>
  <si>
    <t>CID413</t>
  </si>
  <si>
    <t>CID414</t>
  </si>
  <si>
    <t>CID415</t>
  </si>
  <si>
    <t>CID416</t>
  </si>
  <si>
    <t>CID417</t>
  </si>
  <si>
    <t>CID418</t>
  </si>
  <si>
    <t>CID419</t>
  </si>
  <si>
    <t>CID420</t>
  </si>
  <si>
    <t>CID421</t>
  </si>
  <si>
    <t>CID422</t>
  </si>
  <si>
    <t>CID423</t>
  </si>
  <si>
    <t>CID424</t>
  </si>
  <si>
    <t>CID425</t>
  </si>
  <si>
    <t>CID426</t>
  </si>
  <si>
    <t>CID427</t>
  </si>
  <si>
    <t>CID428</t>
  </si>
  <si>
    <t>CID429</t>
  </si>
  <si>
    <t>CID430</t>
  </si>
  <si>
    <t>CID431</t>
  </si>
  <si>
    <t>CID432</t>
  </si>
  <si>
    <t>CID433</t>
  </si>
  <si>
    <t>CID434</t>
  </si>
  <si>
    <t>CID435</t>
  </si>
  <si>
    <t>CID436</t>
  </si>
  <si>
    <t>CID437</t>
  </si>
  <si>
    <t>CID438</t>
  </si>
  <si>
    <t>CID439</t>
  </si>
  <si>
    <t>CID440</t>
  </si>
  <si>
    <t>CID441</t>
  </si>
  <si>
    <t>CID442</t>
  </si>
  <si>
    <t>CID443</t>
  </si>
  <si>
    <t>CID444</t>
  </si>
  <si>
    <t>CID445</t>
  </si>
  <si>
    <t>CID446</t>
  </si>
  <si>
    <t>CID447</t>
  </si>
  <si>
    <t>CID448</t>
  </si>
  <si>
    <t>CID449</t>
  </si>
  <si>
    <t>CID450</t>
  </si>
  <si>
    <t>CID451</t>
  </si>
  <si>
    <t>CID452</t>
  </si>
  <si>
    <t>CID453</t>
  </si>
  <si>
    <t>CID454</t>
  </si>
  <si>
    <t>CID455</t>
  </si>
  <si>
    <t>CID456</t>
  </si>
  <si>
    <t>CID457</t>
  </si>
  <si>
    <t>CID458</t>
  </si>
  <si>
    <t>CID459</t>
  </si>
  <si>
    <t>CID460</t>
  </si>
  <si>
    <t>CID461</t>
  </si>
  <si>
    <t>CID462</t>
  </si>
  <si>
    <t>CID463</t>
  </si>
  <si>
    <t>CID464</t>
  </si>
  <si>
    <t>CID465</t>
  </si>
  <si>
    <t>CID466</t>
  </si>
  <si>
    <t>CID467</t>
  </si>
  <si>
    <t>CID468</t>
  </si>
  <si>
    <t>CID469</t>
  </si>
  <si>
    <t>CID470</t>
  </si>
  <si>
    <t>CID471</t>
  </si>
  <si>
    <t>CID472</t>
  </si>
  <si>
    <t>CID473</t>
  </si>
  <si>
    <t>CID474</t>
  </si>
  <si>
    <t>CID475</t>
  </si>
  <si>
    <t>CID476</t>
  </si>
  <si>
    <t>CID477</t>
  </si>
  <si>
    <t>CID478</t>
  </si>
  <si>
    <t>CID479</t>
  </si>
  <si>
    <t>CID480</t>
  </si>
  <si>
    <t>CID481</t>
  </si>
  <si>
    <t>CID482</t>
  </si>
  <si>
    <t>CID483</t>
  </si>
  <si>
    <t>CID484</t>
  </si>
  <si>
    <t>CID485</t>
  </si>
  <si>
    <t>CID486</t>
  </si>
  <si>
    <t>CID487</t>
  </si>
  <si>
    <t>CID488</t>
  </si>
  <si>
    <t>CID489</t>
  </si>
  <si>
    <t>CID490</t>
  </si>
  <si>
    <t>CID491</t>
  </si>
  <si>
    <t>CID492</t>
  </si>
  <si>
    <t>CID493</t>
  </si>
  <si>
    <t>CID494</t>
  </si>
  <si>
    <t>CID495</t>
  </si>
  <si>
    <t>CID496</t>
  </si>
  <si>
    <t>CID497</t>
  </si>
  <si>
    <t>CID498</t>
  </si>
  <si>
    <t>CID499</t>
  </si>
  <si>
    <t>CID500</t>
  </si>
  <si>
    <t>Year-Month</t>
  </si>
  <si>
    <t>Yield per Acre</t>
  </si>
  <si>
    <t>Fertilizer Efficiency</t>
  </si>
  <si>
    <t>Clean State</t>
  </si>
  <si>
    <t>Clean District</t>
  </si>
  <si>
    <t>Clean Crop Name</t>
  </si>
  <si>
    <t>Clean Fertilizer Type</t>
  </si>
  <si>
    <t>Row Labels</t>
  </si>
  <si>
    <t>Grand Total</t>
  </si>
  <si>
    <t>Total Production</t>
  </si>
  <si>
    <t>Crop Category</t>
  </si>
  <si>
    <t>Food</t>
  </si>
  <si>
    <t>Average of Yield per Acre</t>
  </si>
  <si>
    <t>Total Area</t>
  </si>
  <si>
    <t>Avg Fertilizer</t>
  </si>
  <si>
    <t>Cash</t>
  </si>
  <si>
    <t>Dap</t>
  </si>
  <si>
    <t>Npk</t>
  </si>
  <si>
    <t>2021-04</t>
  </si>
  <si>
    <t>2020-05</t>
  </si>
  <si>
    <t>2014-04</t>
  </si>
  <si>
    <t>2015-05</t>
  </si>
  <si>
    <t>2016-04</t>
  </si>
  <si>
    <t>2017-04</t>
  </si>
  <si>
    <t>2018-04</t>
  </si>
  <si>
    <t>2019-04</t>
  </si>
  <si>
    <t>2011-06</t>
  </si>
  <si>
    <t>2011-07</t>
  </si>
  <si>
    <t>2011-10</t>
  </si>
  <si>
    <t>2012-03</t>
  </si>
  <si>
    <t>2013-08</t>
  </si>
  <si>
    <t>2014-01</t>
  </si>
  <si>
    <t>2015-02</t>
  </si>
  <si>
    <t>2015-07</t>
  </si>
  <si>
    <t>2018-08</t>
  </si>
  <si>
    <t>2019-09</t>
  </si>
  <si>
    <t>2019-10</t>
  </si>
  <si>
    <t>2020-09</t>
  </si>
  <si>
    <t>2021-03</t>
  </si>
  <si>
    <t>2021-11</t>
  </si>
  <si>
    <t>2022-02</t>
  </si>
  <si>
    <t>2022-06</t>
  </si>
  <si>
    <t>2010-12</t>
  </si>
  <si>
    <t>2011-02</t>
  </si>
  <si>
    <t>2011-05</t>
  </si>
  <si>
    <t>2011-09</t>
  </si>
  <si>
    <t>2011-12</t>
  </si>
  <si>
    <t>2012-01</t>
  </si>
  <si>
    <t>2012-04</t>
  </si>
  <si>
    <t>2012-08</t>
  </si>
  <si>
    <t>2013-02</t>
  </si>
  <si>
    <t>2013-04</t>
  </si>
  <si>
    <t>2013-05</t>
  </si>
  <si>
    <t>2013-06</t>
  </si>
  <si>
    <t>2013-09</t>
  </si>
  <si>
    <t>2013-12</t>
  </si>
  <si>
    <t>2014-05</t>
  </si>
  <si>
    <t>2014-09</t>
  </si>
  <si>
    <t>2016-03</t>
  </si>
  <si>
    <t>2017-01</t>
  </si>
  <si>
    <t>2017-02</t>
  </si>
  <si>
    <t>2017-05</t>
  </si>
  <si>
    <t>2017-06</t>
  </si>
  <si>
    <t>2018-02</t>
  </si>
  <si>
    <t>2018-05</t>
  </si>
  <si>
    <t>2018-07</t>
  </si>
  <si>
    <t>2018-10</t>
  </si>
  <si>
    <t>2019-05</t>
  </si>
  <si>
    <t>2019-08</t>
  </si>
  <si>
    <t>2020-03</t>
  </si>
  <si>
    <t>2020-04</t>
  </si>
  <si>
    <t>2021-01</t>
  </si>
  <si>
    <t>2021-02</t>
  </si>
  <si>
    <t>2021-05</t>
  </si>
  <si>
    <t>2021-12</t>
  </si>
  <si>
    <t>2022-04</t>
  </si>
  <si>
    <t>2023-01</t>
  </si>
  <si>
    <t>Total Production(Tonnes)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</si>
</sst>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sz val="14"/>
      </font>
    </dxf>
    <dxf>
      <fill>
        <patternFill>
          <bgColor rgb="FF92D050"/>
        </patternFill>
      </fill>
    </dxf>
    <dxf>
      <fill>
        <patternFill>
          <bgColor theme="0"/>
        </patternFill>
      </fill>
    </dxf>
    <dxf>
      <font>
        <u/>
        <color rgb="FFB30D50"/>
      </font>
      <fill>
        <patternFill>
          <bgColor rgb="FFFFFF00"/>
        </patternFill>
      </fill>
    </dxf>
    <dxf>
      <font>
        <color rgb="FF92D050"/>
      </font>
    </dxf>
  </dxfs>
  <tableStyles count="4" defaultTableStyle="TableStyleMedium2" defaultPivotStyle="PivotStyleLight16">
    <tableStyle name="Slicer Style 1" pivot="0" table="0" count="1" xr9:uid="{1665D9BC-7EBC-4731-9373-54585B22AD28}">
      <tableStyleElement type="wholeTable" dxfId="21"/>
    </tableStyle>
    <tableStyle name="Slicer Style 2" pivot="0" table="0" count="1" xr9:uid="{B1B42E15-879D-4594-90CA-A73724EDADE4}">
      <tableStyleElement type="wholeTable" dxfId="20"/>
    </tableStyle>
    <tableStyle name="Slicer Style 3" pivot="0" table="0" count="2" xr9:uid="{846DCBAF-BAC6-4719-91B8-DE4ED40E8C3F}">
      <tableStyleElement type="wholeTable" dxfId="19"/>
      <tableStyleElement type="headerRow" dxfId="18"/>
    </tableStyle>
    <tableStyle name="Slicer Style 4" pivot="0" table="0" count="1" xr9:uid="{0FDD7084-CA62-47D2-9F8F-3F53AACD2E15}">
      <tableStyleElement type="headerRow" dxfId="17"/>
    </tableStyle>
  </tableStyles>
  <colors>
    <mruColors>
      <color rgb="FFB30D50"/>
      <color rgb="FFFE1A02"/>
      <color rgb="FFA91763"/>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[laxman-444.xlsx]Sheet2!PivotTable1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031496062992"/>
          <c:y val="0.26328484981044037"/>
          <c:w val="0.74845603674540684"/>
          <c:h val="0.38617454068241469"/>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Punjab</c:v>
                </c:pt>
              </c:strCache>
            </c:strRef>
          </c:cat>
          <c:val>
            <c:numRef>
              <c:f>Sheet2!$B$4:$B$5</c:f>
              <c:numCache>
                <c:formatCode>General</c:formatCode>
                <c:ptCount val="1"/>
                <c:pt idx="0">
                  <c:v>13679.020000000002</c:v>
                </c:pt>
              </c:numCache>
            </c:numRef>
          </c:val>
          <c:extLst>
            <c:ext xmlns:c16="http://schemas.microsoft.com/office/drawing/2014/chart" uri="{C3380CC4-5D6E-409C-BE32-E72D297353CC}">
              <c16:uniqueId val="{00000000-AEEC-4D13-BE28-D9BB1C3ABF3B}"/>
            </c:ext>
          </c:extLst>
        </c:ser>
        <c:dLbls>
          <c:showLegendKey val="0"/>
          <c:showVal val="0"/>
          <c:showCatName val="0"/>
          <c:showSerName val="0"/>
          <c:showPercent val="0"/>
          <c:showBubbleSize val="0"/>
        </c:dLbls>
        <c:gapWidth val="219"/>
        <c:overlap val="-27"/>
        <c:axId val="1646817135"/>
        <c:axId val="1658090447"/>
      </c:barChart>
      <c:catAx>
        <c:axId val="164681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090447"/>
        <c:crosses val="autoZero"/>
        <c:auto val="1"/>
        <c:lblAlgn val="ctr"/>
        <c:lblOffset val="100"/>
        <c:noMultiLvlLbl val="0"/>
      </c:catAx>
      <c:valAx>
        <c:axId val="165809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1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[laxman-444.xlsx]Sheet2!PivotTable3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Sheet2!$C$20</c:f>
              <c:strCache>
                <c:ptCount val="1"/>
                <c:pt idx="0">
                  <c:v>Total</c:v>
                </c:pt>
              </c:strCache>
            </c:strRef>
          </c:tx>
          <c:spPr>
            <a:solidFill>
              <a:schemeClr val="accent1"/>
            </a:solidFill>
            <a:ln>
              <a:noFill/>
            </a:ln>
            <a:effectLst/>
          </c:spPr>
          <c:invertIfNegative val="0"/>
          <c:cat>
            <c:strRef>
              <c:f>Sheet2!$B$21:$B$27</c:f>
              <c:strCache>
                <c:ptCount val="6"/>
                <c:pt idx="0">
                  <c:v>Cotton</c:v>
                </c:pt>
                <c:pt idx="1">
                  <c:v>Maize</c:v>
                </c:pt>
                <c:pt idx="2">
                  <c:v>Pulses</c:v>
                </c:pt>
                <c:pt idx="3">
                  <c:v>Rice</c:v>
                </c:pt>
                <c:pt idx="4">
                  <c:v>Sugarcane</c:v>
                </c:pt>
                <c:pt idx="5">
                  <c:v>Wheat</c:v>
                </c:pt>
              </c:strCache>
            </c:strRef>
          </c:cat>
          <c:val>
            <c:numRef>
              <c:f>Sheet2!$C$21:$C$27</c:f>
              <c:numCache>
                <c:formatCode>General</c:formatCode>
                <c:ptCount val="6"/>
                <c:pt idx="0">
                  <c:v>1273.96</c:v>
                </c:pt>
                <c:pt idx="1">
                  <c:v>2067.9</c:v>
                </c:pt>
                <c:pt idx="2">
                  <c:v>1606.21</c:v>
                </c:pt>
                <c:pt idx="3">
                  <c:v>2305.7199999999998</c:v>
                </c:pt>
                <c:pt idx="4">
                  <c:v>3076.82</c:v>
                </c:pt>
                <c:pt idx="5">
                  <c:v>3348.41</c:v>
                </c:pt>
              </c:numCache>
            </c:numRef>
          </c:val>
          <c:extLst>
            <c:ext xmlns:c16="http://schemas.microsoft.com/office/drawing/2014/chart" uri="{C3380CC4-5D6E-409C-BE32-E72D297353CC}">
              <c16:uniqueId val="{00000000-E42A-4139-9430-A755D94EF117}"/>
            </c:ext>
          </c:extLst>
        </c:ser>
        <c:dLbls>
          <c:showLegendKey val="0"/>
          <c:showVal val="0"/>
          <c:showCatName val="0"/>
          <c:showSerName val="0"/>
          <c:showPercent val="0"/>
          <c:showBubbleSize val="0"/>
        </c:dLbls>
        <c:gapWidth val="182"/>
        <c:axId val="2031768575"/>
        <c:axId val="1658108687"/>
      </c:barChart>
      <c:catAx>
        <c:axId val="2031768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108687"/>
        <c:crosses val="autoZero"/>
        <c:auto val="1"/>
        <c:lblAlgn val="ctr"/>
        <c:lblOffset val="100"/>
        <c:noMultiLvlLbl val="0"/>
      </c:catAx>
      <c:valAx>
        <c:axId val="1658108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6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[laxman-444.xlsx]Sheet2!PivotTable4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Sheet2!$C$38</c:f>
              <c:strCache>
                <c:ptCount val="1"/>
                <c:pt idx="0">
                  <c:v>Total</c:v>
                </c:pt>
              </c:strCache>
            </c:strRef>
          </c:tx>
          <c:spPr>
            <a:ln w="28575" cap="rnd">
              <a:solidFill>
                <a:schemeClr val="accent1"/>
              </a:solidFill>
              <a:round/>
            </a:ln>
            <a:effectLst/>
          </c:spPr>
          <c:marker>
            <c:symbol val="none"/>
          </c:marker>
          <c:cat>
            <c:strRef>
              <c:f>Sheet2!$B$39:$B$98</c:f>
              <c:strCache>
                <c:ptCount val="59"/>
                <c:pt idx="0">
                  <c:v>2010-12</c:v>
                </c:pt>
                <c:pt idx="1">
                  <c:v>2011-02</c:v>
                </c:pt>
                <c:pt idx="2">
                  <c:v>2011-05</c:v>
                </c:pt>
                <c:pt idx="3">
                  <c:v>2011-06</c:v>
                </c:pt>
                <c:pt idx="4">
                  <c:v>2011-07</c:v>
                </c:pt>
                <c:pt idx="5">
                  <c:v>2011-09</c:v>
                </c:pt>
                <c:pt idx="6">
                  <c:v>2011-10</c:v>
                </c:pt>
                <c:pt idx="7">
                  <c:v>2011-12</c:v>
                </c:pt>
                <c:pt idx="8">
                  <c:v>2012-01</c:v>
                </c:pt>
                <c:pt idx="9">
                  <c:v>2012-03</c:v>
                </c:pt>
                <c:pt idx="10">
                  <c:v>2012-04</c:v>
                </c:pt>
                <c:pt idx="11">
                  <c:v>2012-08</c:v>
                </c:pt>
                <c:pt idx="12">
                  <c:v>2013-02</c:v>
                </c:pt>
                <c:pt idx="13">
                  <c:v>2013-04</c:v>
                </c:pt>
                <c:pt idx="14">
                  <c:v>2013-05</c:v>
                </c:pt>
                <c:pt idx="15">
                  <c:v>2013-06</c:v>
                </c:pt>
                <c:pt idx="16">
                  <c:v>2013-08</c:v>
                </c:pt>
                <c:pt idx="17">
                  <c:v>2013-09</c:v>
                </c:pt>
                <c:pt idx="18">
                  <c:v>2013-12</c:v>
                </c:pt>
                <c:pt idx="19">
                  <c:v>2014-01</c:v>
                </c:pt>
                <c:pt idx="20">
                  <c:v>2014-04</c:v>
                </c:pt>
                <c:pt idx="21">
                  <c:v>2014-05</c:v>
                </c:pt>
                <c:pt idx="22">
                  <c:v>2014-09</c:v>
                </c:pt>
                <c:pt idx="23">
                  <c:v>2015-02</c:v>
                </c:pt>
                <c:pt idx="24">
                  <c:v>2015-05</c:v>
                </c:pt>
                <c:pt idx="25">
                  <c:v>2015-07</c:v>
                </c:pt>
                <c:pt idx="26">
                  <c:v>2016-03</c:v>
                </c:pt>
                <c:pt idx="27">
                  <c:v>2016-04</c:v>
                </c:pt>
                <c:pt idx="28">
                  <c:v>2017-01</c:v>
                </c:pt>
                <c:pt idx="29">
                  <c:v>2017-02</c:v>
                </c:pt>
                <c:pt idx="30">
                  <c:v>2017-04</c:v>
                </c:pt>
                <c:pt idx="31">
                  <c:v>2017-05</c:v>
                </c:pt>
                <c:pt idx="32">
                  <c:v>2017-06</c:v>
                </c:pt>
                <c:pt idx="33">
                  <c:v>2018-02</c:v>
                </c:pt>
                <c:pt idx="34">
                  <c:v>2018-04</c:v>
                </c:pt>
                <c:pt idx="35">
                  <c:v>2018-05</c:v>
                </c:pt>
                <c:pt idx="36">
                  <c:v>2018-07</c:v>
                </c:pt>
                <c:pt idx="37">
                  <c:v>2018-08</c:v>
                </c:pt>
                <c:pt idx="38">
                  <c:v>2018-10</c:v>
                </c:pt>
                <c:pt idx="39">
                  <c:v>2019-04</c:v>
                </c:pt>
                <c:pt idx="40">
                  <c:v>2019-05</c:v>
                </c:pt>
                <c:pt idx="41">
                  <c:v>2019-08</c:v>
                </c:pt>
                <c:pt idx="42">
                  <c:v>2019-09</c:v>
                </c:pt>
                <c:pt idx="43">
                  <c:v>2019-10</c:v>
                </c:pt>
                <c:pt idx="44">
                  <c:v>2020-03</c:v>
                </c:pt>
                <c:pt idx="45">
                  <c:v>2020-04</c:v>
                </c:pt>
                <c:pt idx="46">
                  <c:v>2020-05</c:v>
                </c:pt>
                <c:pt idx="47">
                  <c:v>2020-09</c:v>
                </c:pt>
                <c:pt idx="48">
                  <c:v>2021-01</c:v>
                </c:pt>
                <c:pt idx="49">
                  <c:v>2021-02</c:v>
                </c:pt>
                <c:pt idx="50">
                  <c:v>2021-03</c:v>
                </c:pt>
                <c:pt idx="51">
                  <c:v>2021-04</c:v>
                </c:pt>
                <c:pt idx="52">
                  <c:v>2021-05</c:v>
                </c:pt>
                <c:pt idx="53">
                  <c:v>2021-11</c:v>
                </c:pt>
                <c:pt idx="54">
                  <c:v>2021-12</c:v>
                </c:pt>
                <c:pt idx="55">
                  <c:v>2022-02</c:v>
                </c:pt>
                <c:pt idx="56">
                  <c:v>2022-04</c:v>
                </c:pt>
                <c:pt idx="57">
                  <c:v>2022-06</c:v>
                </c:pt>
                <c:pt idx="58">
                  <c:v>2023-01</c:v>
                </c:pt>
              </c:strCache>
            </c:strRef>
          </c:cat>
          <c:val>
            <c:numRef>
              <c:f>Sheet2!$C$39:$C$98</c:f>
              <c:numCache>
                <c:formatCode>General</c:formatCode>
                <c:ptCount val="59"/>
                <c:pt idx="0">
                  <c:v>264.5</c:v>
                </c:pt>
                <c:pt idx="1">
                  <c:v>34.11</c:v>
                </c:pt>
                <c:pt idx="2">
                  <c:v>542.16</c:v>
                </c:pt>
                <c:pt idx="3">
                  <c:v>144.31</c:v>
                </c:pt>
                <c:pt idx="4">
                  <c:v>274.52</c:v>
                </c:pt>
                <c:pt idx="5">
                  <c:v>39.33</c:v>
                </c:pt>
                <c:pt idx="6">
                  <c:v>200.13</c:v>
                </c:pt>
                <c:pt idx="7">
                  <c:v>212.06</c:v>
                </c:pt>
                <c:pt idx="8">
                  <c:v>139.59</c:v>
                </c:pt>
                <c:pt idx="9">
                  <c:v>639.29</c:v>
                </c:pt>
                <c:pt idx="10">
                  <c:v>348.12</c:v>
                </c:pt>
                <c:pt idx="11">
                  <c:v>283.08</c:v>
                </c:pt>
                <c:pt idx="12">
                  <c:v>615.66000000000008</c:v>
                </c:pt>
                <c:pt idx="13">
                  <c:v>15.32</c:v>
                </c:pt>
                <c:pt idx="14">
                  <c:v>127.37</c:v>
                </c:pt>
                <c:pt idx="15">
                  <c:v>150.69999999999999</c:v>
                </c:pt>
                <c:pt idx="16">
                  <c:v>44.58</c:v>
                </c:pt>
                <c:pt idx="17">
                  <c:v>285.25</c:v>
                </c:pt>
                <c:pt idx="18">
                  <c:v>427.76</c:v>
                </c:pt>
                <c:pt idx="19">
                  <c:v>34.770000000000003</c:v>
                </c:pt>
                <c:pt idx="20">
                  <c:v>270.43</c:v>
                </c:pt>
                <c:pt idx="21">
                  <c:v>221.5</c:v>
                </c:pt>
                <c:pt idx="22">
                  <c:v>56.79</c:v>
                </c:pt>
                <c:pt idx="23">
                  <c:v>57.57</c:v>
                </c:pt>
                <c:pt idx="24">
                  <c:v>368.72</c:v>
                </c:pt>
                <c:pt idx="25">
                  <c:v>54.44</c:v>
                </c:pt>
                <c:pt idx="26">
                  <c:v>341.49</c:v>
                </c:pt>
                <c:pt idx="27">
                  <c:v>428.47</c:v>
                </c:pt>
                <c:pt idx="28">
                  <c:v>317.02999999999997</c:v>
                </c:pt>
                <c:pt idx="29">
                  <c:v>389.09999999999997</c:v>
                </c:pt>
                <c:pt idx="30">
                  <c:v>112.23</c:v>
                </c:pt>
                <c:pt idx="31">
                  <c:v>44.26</c:v>
                </c:pt>
                <c:pt idx="32">
                  <c:v>127.32</c:v>
                </c:pt>
                <c:pt idx="33">
                  <c:v>353.79</c:v>
                </c:pt>
                <c:pt idx="34">
                  <c:v>543.95000000000005</c:v>
                </c:pt>
                <c:pt idx="35">
                  <c:v>200.3</c:v>
                </c:pt>
                <c:pt idx="36">
                  <c:v>32.51</c:v>
                </c:pt>
                <c:pt idx="37">
                  <c:v>174.34</c:v>
                </c:pt>
                <c:pt idx="38">
                  <c:v>418.45</c:v>
                </c:pt>
                <c:pt idx="39">
                  <c:v>366.44</c:v>
                </c:pt>
                <c:pt idx="40">
                  <c:v>172.33</c:v>
                </c:pt>
                <c:pt idx="41">
                  <c:v>262.64</c:v>
                </c:pt>
                <c:pt idx="42">
                  <c:v>237.91</c:v>
                </c:pt>
                <c:pt idx="43">
                  <c:v>198.75</c:v>
                </c:pt>
                <c:pt idx="44">
                  <c:v>118.76</c:v>
                </c:pt>
                <c:pt idx="45">
                  <c:v>202.79</c:v>
                </c:pt>
                <c:pt idx="46">
                  <c:v>271.83</c:v>
                </c:pt>
                <c:pt idx="47">
                  <c:v>59.12</c:v>
                </c:pt>
                <c:pt idx="48">
                  <c:v>146.26</c:v>
                </c:pt>
                <c:pt idx="49">
                  <c:v>505.04</c:v>
                </c:pt>
                <c:pt idx="50">
                  <c:v>14.36</c:v>
                </c:pt>
                <c:pt idx="51">
                  <c:v>179.39</c:v>
                </c:pt>
                <c:pt idx="52">
                  <c:v>178.2</c:v>
                </c:pt>
                <c:pt idx="53">
                  <c:v>253.41</c:v>
                </c:pt>
                <c:pt idx="54">
                  <c:v>16.920000000000002</c:v>
                </c:pt>
                <c:pt idx="55">
                  <c:v>12.81</c:v>
                </c:pt>
                <c:pt idx="56">
                  <c:v>205.76</c:v>
                </c:pt>
                <c:pt idx="57">
                  <c:v>637.42999999999995</c:v>
                </c:pt>
                <c:pt idx="58">
                  <c:v>303.57</c:v>
                </c:pt>
              </c:numCache>
            </c:numRef>
          </c:val>
          <c:smooth val="0"/>
          <c:extLst>
            <c:ext xmlns:c16="http://schemas.microsoft.com/office/drawing/2014/chart" uri="{C3380CC4-5D6E-409C-BE32-E72D297353CC}">
              <c16:uniqueId val="{00000000-EC4F-4D34-AB0A-ED626DBDAE78}"/>
            </c:ext>
          </c:extLst>
        </c:ser>
        <c:dLbls>
          <c:showLegendKey val="0"/>
          <c:showVal val="0"/>
          <c:showCatName val="0"/>
          <c:showSerName val="0"/>
          <c:showPercent val="0"/>
          <c:showBubbleSize val="0"/>
        </c:dLbls>
        <c:smooth val="0"/>
        <c:axId val="1646822703"/>
        <c:axId val="1658029487"/>
      </c:lineChart>
      <c:catAx>
        <c:axId val="164682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029487"/>
        <c:crosses val="autoZero"/>
        <c:auto val="1"/>
        <c:lblAlgn val="ctr"/>
        <c:lblOffset val="100"/>
        <c:noMultiLvlLbl val="0"/>
      </c:catAx>
      <c:valAx>
        <c:axId val="165802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2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[laxman-444.xlsx]Sheet2!PivotTable1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Production</a:t>
            </a:r>
            <a:r>
              <a:rPr lang="en-US" baseline="0"/>
              <a:t> by State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s>
    <c:plotArea>
      <c:layout>
        <c:manualLayout>
          <c:layoutTarget val="inner"/>
          <c:xMode val="edge"/>
          <c:yMode val="edge"/>
          <c:x val="0.14561096144617408"/>
          <c:y val="0.32995135608048992"/>
          <c:w val="0.74845603674540684"/>
          <c:h val="0.38617454068241469"/>
        </c:manualLayout>
      </c:layout>
      <c:barChart>
        <c:barDir val="col"/>
        <c:grouping val="clustered"/>
        <c:varyColors val="0"/>
        <c:ser>
          <c:idx val="0"/>
          <c:order val="0"/>
          <c:tx>
            <c:strRef>
              <c:f>Sheet2!$B$3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Sheet2!$A$4:$A$5</c:f>
              <c:strCache>
                <c:ptCount val="1"/>
                <c:pt idx="0">
                  <c:v>Punjab</c:v>
                </c:pt>
              </c:strCache>
            </c:strRef>
          </c:cat>
          <c:val>
            <c:numRef>
              <c:f>Sheet2!$B$4:$B$5</c:f>
              <c:numCache>
                <c:formatCode>General</c:formatCode>
                <c:ptCount val="1"/>
                <c:pt idx="0">
                  <c:v>13679.020000000002</c:v>
                </c:pt>
              </c:numCache>
            </c:numRef>
          </c:val>
          <c:extLst>
            <c:ext xmlns:c16="http://schemas.microsoft.com/office/drawing/2014/chart" uri="{C3380CC4-5D6E-409C-BE32-E72D297353CC}">
              <c16:uniqueId val="{00000000-31CC-4386-9E5A-4D97EC5691E4}"/>
            </c:ext>
          </c:extLst>
        </c:ser>
        <c:dLbls>
          <c:dLblPos val="inEnd"/>
          <c:showLegendKey val="0"/>
          <c:showVal val="1"/>
          <c:showCatName val="0"/>
          <c:showSerName val="0"/>
          <c:showPercent val="0"/>
          <c:showBubbleSize val="0"/>
        </c:dLbls>
        <c:gapWidth val="100"/>
        <c:overlap val="-24"/>
        <c:axId val="1646817135"/>
        <c:axId val="1658090447"/>
      </c:barChart>
      <c:catAx>
        <c:axId val="1646817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090447"/>
        <c:crosses val="autoZero"/>
        <c:auto val="1"/>
        <c:lblAlgn val="ctr"/>
        <c:lblOffset val="100"/>
        <c:noMultiLvlLbl val="0"/>
      </c:catAx>
      <c:valAx>
        <c:axId val="16580904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681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[laxman-444.xlsx]Sheet2!PivotTable3</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Sheet2!$C$20</c:f>
              <c:strCache>
                <c:ptCount val="1"/>
                <c:pt idx="0">
                  <c:v>Total</c:v>
                </c:pt>
              </c:strCache>
            </c:strRef>
          </c:tx>
          <c:spPr>
            <a:solidFill>
              <a:srgbClr val="92D050"/>
            </a:solidFill>
            <a:ln w="9525" cap="flat" cmpd="sng" algn="ctr">
              <a:solidFill>
                <a:schemeClr val="accent1"/>
              </a:solidFill>
              <a:miter lim="800000"/>
            </a:ln>
            <a:effectLst>
              <a:glow rad="63500">
                <a:schemeClr val="accent1">
                  <a:satMod val="175000"/>
                  <a:alpha val="25000"/>
                </a:schemeClr>
              </a:glow>
            </a:effectLst>
          </c:spPr>
          <c:invertIfNegative val="0"/>
          <c:cat>
            <c:strRef>
              <c:f>Sheet2!$B$21:$B$27</c:f>
              <c:strCache>
                <c:ptCount val="6"/>
                <c:pt idx="0">
                  <c:v>Cotton</c:v>
                </c:pt>
                <c:pt idx="1">
                  <c:v>Maize</c:v>
                </c:pt>
                <c:pt idx="2">
                  <c:v>Pulses</c:v>
                </c:pt>
                <c:pt idx="3">
                  <c:v>Rice</c:v>
                </c:pt>
                <c:pt idx="4">
                  <c:v>Sugarcane</c:v>
                </c:pt>
                <c:pt idx="5">
                  <c:v>Wheat</c:v>
                </c:pt>
              </c:strCache>
            </c:strRef>
          </c:cat>
          <c:val>
            <c:numRef>
              <c:f>Sheet2!$C$21:$C$27</c:f>
              <c:numCache>
                <c:formatCode>General</c:formatCode>
                <c:ptCount val="6"/>
                <c:pt idx="0">
                  <c:v>1273.96</c:v>
                </c:pt>
                <c:pt idx="1">
                  <c:v>2067.9</c:v>
                </c:pt>
                <c:pt idx="2">
                  <c:v>1606.21</c:v>
                </c:pt>
                <c:pt idx="3">
                  <c:v>2305.7199999999998</c:v>
                </c:pt>
                <c:pt idx="4">
                  <c:v>3076.82</c:v>
                </c:pt>
                <c:pt idx="5">
                  <c:v>3348.41</c:v>
                </c:pt>
              </c:numCache>
            </c:numRef>
          </c:val>
          <c:extLst>
            <c:ext xmlns:c16="http://schemas.microsoft.com/office/drawing/2014/chart" uri="{C3380CC4-5D6E-409C-BE32-E72D297353CC}">
              <c16:uniqueId val="{00000000-9CB9-4218-8943-661C7120BE92}"/>
            </c:ext>
          </c:extLst>
        </c:ser>
        <c:dLbls>
          <c:showLegendKey val="0"/>
          <c:showVal val="0"/>
          <c:showCatName val="0"/>
          <c:showSerName val="0"/>
          <c:showPercent val="0"/>
          <c:showBubbleSize val="0"/>
        </c:dLbls>
        <c:gapWidth val="182"/>
        <c:overlap val="-50"/>
        <c:axId val="2031768575"/>
        <c:axId val="1658108687"/>
      </c:barChart>
      <c:catAx>
        <c:axId val="203176857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8108687"/>
        <c:crosses val="autoZero"/>
        <c:auto val="1"/>
        <c:lblAlgn val="ctr"/>
        <c:lblOffset val="100"/>
        <c:noMultiLvlLbl val="0"/>
      </c:catAx>
      <c:valAx>
        <c:axId val="165810868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1768575"/>
        <c:crosses val="autoZero"/>
        <c:crossBetween val="between"/>
      </c:valAx>
      <c:spPr>
        <a:noFill/>
        <a:ln>
          <a:noFill/>
        </a:ln>
        <a:effectLst>
          <a:outerShdw blurRad="50800" dist="50800" dir="5400000" algn="ctr" rotWithShape="0">
            <a:schemeClr val="tx1">
              <a:lumMod val="50000"/>
              <a:lumOff val="50000"/>
            </a:scheme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outerShdw blurRad="50800" dist="38100" dir="2700000" sx="102000" sy="102000" algn="tl" rotWithShape="0">
        <a:schemeClr val="tx1">
          <a:lumMod val="50000"/>
          <a:lumOff val="50000"/>
          <a:alpha val="8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[laxman-444.xlsx]Sheet2!PivotTable4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Sheet2!$C$38</c:f>
              <c:strCache>
                <c:ptCount val="1"/>
                <c:pt idx="0">
                  <c:v>Total</c:v>
                </c:pt>
              </c:strCache>
            </c:strRef>
          </c:tx>
          <c:spPr>
            <a:ln w="34925"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cat>
            <c:strRef>
              <c:f>Sheet2!$B$39:$B$98</c:f>
              <c:strCache>
                <c:ptCount val="59"/>
                <c:pt idx="0">
                  <c:v>2010-12</c:v>
                </c:pt>
                <c:pt idx="1">
                  <c:v>2011-02</c:v>
                </c:pt>
                <c:pt idx="2">
                  <c:v>2011-05</c:v>
                </c:pt>
                <c:pt idx="3">
                  <c:v>2011-06</c:v>
                </c:pt>
                <c:pt idx="4">
                  <c:v>2011-07</c:v>
                </c:pt>
                <c:pt idx="5">
                  <c:v>2011-09</c:v>
                </c:pt>
                <c:pt idx="6">
                  <c:v>2011-10</c:v>
                </c:pt>
                <c:pt idx="7">
                  <c:v>2011-12</c:v>
                </c:pt>
                <c:pt idx="8">
                  <c:v>2012-01</c:v>
                </c:pt>
                <c:pt idx="9">
                  <c:v>2012-03</c:v>
                </c:pt>
                <c:pt idx="10">
                  <c:v>2012-04</c:v>
                </c:pt>
                <c:pt idx="11">
                  <c:v>2012-08</c:v>
                </c:pt>
                <c:pt idx="12">
                  <c:v>2013-02</c:v>
                </c:pt>
                <c:pt idx="13">
                  <c:v>2013-04</c:v>
                </c:pt>
                <c:pt idx="14">
                  <c:v>2013-05</c:v>
                </c:pt>
                <c:pt idx="15">
                  <c:v>2013-06</c:v>
                </c:pt>
                <c:pt idx="16">
                  <c:v>2013-08</c:v>
                </c:pt>
                <c:pt idx="17">
                  <c:v>2013-09</c:v>
                </c:pt>
                <c:pt idx="18">
                  <c:v>2013-12</c:v>
                </c:pt>
                <c:pt idx="19">
                  <c:v>2014-01</c:v>
                </c:pt>
                <c:pt idx="20">
                  <c:v>2014-04</c:v>
                </c:pt>
                <c:pt idx="21">
                  <c:v>2014-05</c:v>
                </c:pt>
                <c:pt idx="22">
                  <c:v>2014-09</c:v>
                </c:pt>
                <c:pt idx="23">
                  <c:v>2015-02</c:v>
                </c:pt>
                <c:pt idx="24">
                  <c:v>2015-05</c:v>
                </c:pt>
                <c:pt idx="25">
                  <c:v>2015-07</c:v>
                </c:pt>
                <c:pt idx="26">
                  <c:v>2016-03</c:v>
                </c:pt>
                <c:pt idx="27">
                  <c:v>2016-04</c:v>
                </c:pt>
                <c:pt idx="28">
                  <c:v>2017-01</c:v>
                </c:pt>
                <c:pt idx="29">
                  <c:v>2017-02</c:v>
                </c:pt>
                <c:pt idx="30">
                  <c:v>2017-04</c:v>
                </c:pt>
                <c:pt idx="31">
                  <c:v>2017-05</c:v>
                </c:pt>
                <c:pt idx="32">
                  <c:v>2017-06</c:v>
                </c:pt>
                <c:pt idx="33">
                  <c:v>2018-02</c:v>
                </c:pt>
                <c:pt idx="34">
                  <c:v>2018-04</c:v>
                </c:pt>
                <c:pt idx="35">
                  <c:v>2018-05</c:v>
                </c:pt>
                <c:pt idx="36">
                  <c:v>2018-07</c:v>
                </c:pt>
                <c:pt idx="37">
                  <c:v>2018-08</c:v>
                </c:pt>
                <c:pt idx="38">
                  <c:v>2018-10</c:v>
                </c:pt>
                <c:pt idx="39">
                  <c:v>2019-04</c:v>
                </c:pt>
                <c:pt idx="40">
                  <c:v>2019-05</c:v>
                </c:pt>
                <c:pt idx="41">
                  <c:v>2019-08</c:v>
                </c:pt>
                <c:pt idx="42">
                  <c:v>2019-09</c:v>
                </c:pt>
                <c:pt idx="43">
                  <c:v>2019-10</c:v>
                </c:pt>
                <c:pt idx="44">
                  <c:v>2020-03</c:v>
                </c:pt>
                <c:pt idx="45">
                  <c:v>2020-04</c:v>
                </c:pt>
                <c:pt idx="46">
                  <c:v>2020-05</c:v>
                </c:pt>
                <c:pt idx="47">
                  <c:v>2020-09</c:v>
                </c:pt>
                <c:pt idx="48">
                  <c:v>2021-01</c:v>
                </c:pt>
                <c:pt idx="49">
                  <c:v>2021-02</c:v>
                </c:pt>
                <c:pt idx="50">
                  <c:v>2021-03</c:v>
                </c:pt>
                <c:pt idx="51">
                  <c:v>2021-04</c:v>
                </c:pt>
                <c:pt idx="52">
                  <c:v>2021-05</c:v>
                </c:pt>
                <c:pt idx="53">
                  <c:v>2021-11</c:v>
                </c:pt>
                <c:pt idx="54">
                  <c:v>2021-12</c:v>
                </c:pt>
                <c:pt idx="55">
                  <c:v>2022-02</c:v>
                </c:pt>
                <c:pt idx="56">
                  <c:v>2022-04</c:v>
                </c:pt>
                <c:pt idx="57">
                  <c:v>2022-06</c:v>
                </c:pt>
                <c:pt idx="58">
                  <c:v>2023-01</c:v>
                </c:pt>
              </c:strCache>
            </c:strRef>
          </c:cat>
          <c:val>
            <c:numRef>
              <c:f>Sheet2!$C$39:$C$98</c:f>
              <c:numCache>
                <c:formatCode>General</c:formatCode>
                <c:ptCount val="59"/>
                <c:pt idx="0">
                  <c:v>264.5</c:v>
                </c:pt>
                <c:pt idx="1">
                  <c:v>34.11</c:v>
                </c:pt>
                <c:pt idx="2">
                  <c:v>542.16</c:v>
                </c:pt>
                <c:pt idx="3">
                  <c:v>144.31</c:v>
                </c:pt>
                <c:pt idx="4">
                  <c:v>274.52</c:v>
                </c:pt>
                <c:pt idx="5">
                  <c:v>39.33</c:v>
                </c:pt>
                <c:pt idx="6">
                  <c:v>200.13</c:v>
                </c:pt>
                <c:pt idx="7">
                  <c:v>212.06</c:v>
                </c:pt>
                <c:pt idx="8">
                  <c:v>139.59</c:v>
                </c:pt>
                <c:pt idx="9">
                  <c:v>639.29</c:v>
                </c:pt>
                <c:pt idx="10">
                  <c:v>348.12</c:v>
                </c:pt>
                <c:pt idx="11">
                  <c:v>283.08</c:v>
                </c:pt>
                <c:pt idx="12">
                  <c:v>615.66000000000008</c:v>
                </c:pt>
                <c:pt idx="13">
                  <c:v>15.32</c:v>
                </c:pt>
                <c:pt idx="14">
                  <c:v>127.37</c:v>
                </c:pt>
                <c:pt idx="15">
                  <c:v>150.69999999999999</c:v>
                </c:pt>
                <c:pt idx="16">
                  <c:v>44.58</c:v>
                </c:pt>
                <c:pt idx="17">
                  <c:v>285.25</c:v>
                </c:pt>
                <c:pt idx="18">
                  <c:v>427.76</c:v>
                </c:pt>
                <c:pt idx="19">
                  <c:v>34.770000000000003</c:v>
                </c:pt>
                <c:pt idx="20">
                  <c:v>270.43</c:v>
                </c:pt>
                <c:pt idx="21">
                  <c:v>221.5</c:v>
                </c:pt>
                <c:pt idx="22">
                  <c:v>56.79</c:v>
                </c:pt>
                <c:pt idx="23">
                  <c:v>57.57</c:v>
                </c:pt>
                <c:pt idx="24">
                  <c:v>368.72</c:v>
                </c:pt>
                <c:pt idx="25">
                  <c:v>54.44</c:v>
                </c:pt>
                <c:pt idx="26">
                  <c:v>341.49</c:v>
                </c:pt>
                <c:pt idx="27">
                  <c:v>428.47</c:v>
                </c:pt>
                <c:pt idx="28">
                  <c:v>317.02999999999997</c:v>
                </c:pt>
                <c:pt idx="29">
                  <c:v>389.09999999999997</c:v>
                </c:pt>
                <c:pt idx="30">
                  <c:v>112.23</c:v>
                </c:pt>
                <c:pt idx="31">
                  <c:v>44.26</c:v>
                </c:pt>
                <c:pt idx="32">
                  <c:v>127.32</c:v>
                </c:pt>
                <c:pt idx="33">
                  <c:v>353.79</c:v>
                </c:pt>
                <c:pt idx="34">
                  <c:v>543.95000000000005</c:v>
                </c:pt>
                <c:pt idx="35">
                  <c:v>200.3</c:v>
                </c:pt>
                <c:pt idx="36">
                  <c:v>32.51</c:v>
                </c:pt>
                <c:pt idx="37">
                  <c:v>174.34</c:v>
                </c:pt>
                <c:pt idx="38">
                  <c:v>418.45</c:v>
                </c:pt>
                <c:pt idx="39">
                  <c:v>366.44</c:v>
                </c:pt>
                <c:pt idx="40">
                  <c:v>172.33</c:v>
                </c:pt>
                <c:pt idx="41">
                  <c:v>262.64</c:v>
                </c:pt>
                <c:pt idx="42">
                  <c:v>237.91</c:v>
                </c:pt>
                <c:pt idx="43">
                  <c:v>198.75</c:v>
                </c:pt>
                <c:pt idx="44">
                  <c:v>118.76</c:v>
                </c:pt>
                <c:pt idx="45">
                  <c:v>202.79</c:v>
                </c:pt>
                <c:pt idx="46">
                  <c:v>271.83</c:v>
                </c:pt>
                <c:pt idx="47">
                  <c:v>59.12</c:v>
                </c:pt>
                <c:pt idx="48">
                  <c:v>146.26</c:v>
                </c:pt>
                <c:pt idx="49">
                  <c:v>505.04</c:v>
                </c:pt>
                <c:pt idx="50">
                  <c:v>14.36</c:v>
                </c:pt>
                <c:pt idx="51">
                  <c:v>179.39</c:v>
                </c:pt>
                <c:pt idx="52">
                  <c:v>178.2</c:v>
                </c:pt>
                <c:pt idx="53">
                  <c:v>253.41</c:v>
                </c:pt>
                <c:pt idx="54">
                  <c:v>16.920000000000002</c:v>
                </c:pt>
                <c:pt idx="55">
                  <c:v>12.81</c:v>
                </c:pt>
                <c:pt idx="56">
                  <c:v>205.76</c:v>
                </c:pt>
                <c:pt idx="57">
                  <c:v>637.42999999999995</c:v>
                </c:pt>
                <c:pt idx="58">
                  <c:v>303.57</c:v>
                </c:pt>
              </c:numCache>
            </c:numRef>
          </c:val>
          <c:smooth val="0"/>
          <c:extLst>
            <c:ext xmlns:c16="http://schemas.microsoft.com/office/drawing/2014/chart" uri="{C3380CC4-5D6E-409C-BE32-E72D297353CC}">
              <c16:uniqueId val="{00000000-944D-4ED5-AA52-9C0982DFC33C}"/>
            </c:ext>
          </c:extLst>
        </c:ser>
        <c:dLbls>
          <c:showLegendKey val="0"/>
          <c:showVal val="0"/>
          <c:showCatName val="0"/>
          <c:showSerName val="0"/>
          <c:showPercent val="0"/>
          <c:showBubbleSize val="0"/>
        </c:dLbls>
        <c:marker val="1"/>
        <c:smooth val="0"/>
        <c:axId val="1646822703"/>
        <c:axId val="1658029487"/>
      </c:lineChart>
      <c:catAx>
        <c:axId val="16468227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029487"/>
        <c:crosses val="autoZero"/>
        <c:auto val="1"/>
        <c:lblAlgn val="ctr"/>
        <c:lblOffset val="100"/>
        <c:noMultiLvlLbl val="0"/>
      </c:catAx>
      <c:valAx>
        <c:axId val="165802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682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Rainfall vs Yield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148255401300287"/>
          <c:y val="0.19121655435602919"/>
          <c:w val="0.7929305046587678"/>
          <c:h val="0.64873920260763118"/>
        </c:manualLayout>
      </c:layout>
      <c:scatterChart>
        <c:scatterStyle val="lineMarker"/>
        <c:varyColors val="0"/>
        <c:ser>
          <c:idx val="0"/>
          <c:order val="0"/>
          <c:tx>
            <c:strRef>
              <c:f>Agricultural_Crop_Yield!$N$1</c:f>
              <c:strCache>
                <c:ptCount val="1"/>
                <c:pt idx="0">
                  <c:v>Rainfall (mm)</c:v>
                </c:pt>
              </c:strCache>
            </c:strRef>
          </c:tx>
          <c:spPr>
            <a:ln w="25400" cap="rnd">
              <a:noFill/>
            </a:ln>
            <a:effectLst>
              <a:glow rad="139700">
                <a:schemeClr val="accent1">
                  <a:satMod val="175000"/>
                  <a:alpha val="14000"/>
                </a:schemeClr>
              </a:glow>
            </a:effectLst>
          </c:spPr>
          <c:marker>
            <c:symbol val="circle"/>
            <c:size val="3"/>
            <c:spPr>
              <a:solidFill>
                <a:srgbClr val="92D050"/>
              </a:solidFill>
              <a:ln>
                <a:noFill/>
              </a:ln>
              <a:effectLst>
                <a:glow rad="63500">
                  <a:schemeClr val="accent1">
                    <a:satMod val="175000"/>
                    <a:alpha val="25000"/>
                  </a:schemeClr>
                </a:glow>
              </a:effectLst>
            </c:spPr>
          </c:marker>
          <c:xVal>
            <c:numRef>
              <c:f>Agricultural_Crop_Yield!$J$2:$J$541</c:f>
              <c:numCache>
                <c:formatCode>General</c:formatCode>
                <c:ptCount val="540"/>
                <c:pt idx="0">
                  <c:v>1837.23</c:v>
                </c:pt>
                <c:pt idx="1">
                  <c:v>2193.0300000000002</c:v>
                </c:pt>
                <c:pt idx="2">
                  <c:v>3279.56</c:v>
                </c:pt>
                <c:pt idx="3">
                  <c:v>6170.24</c:v>
                </c:pt>
                <c:pt idx="4">
                  <c:v>3188.99</c:v>
                </c:pt>
                <c:pt idx="5">
                  <c:v>6552.35</c:v>
                </c:pt>
                <c:pt idx="6">
                  <c:v>2888.07</c:v>
                </c:pt>
                <c:pt idx="7">
                  <c:v>6386.94</c:v>
                </c:pt>
                <c:pt idx="8">
                  <c:v>3532.96</c:v>
                </c:pt>
                <c:pt idx="9">
                  <c:v>5611.59</c:v>
                </c:pt>
                <c:pt idx="10">
                  <c:v>4833.7</c:v>
                </c:pt>
                <c:pt idx="11">
                  <c:v>6272.33</c:v>
                </c:pt>
                <c:pt idx="12">
                  <c:v>3851.69</c:v>
                </c:pt>
                <c:pt idx="13">
                  <c:v>6970.9</c:v>
                </c:pt>
                <c:pt idx="14">
                  <c:v>1425.96</c:v>
                </c:pt>
                <c:pt idx="15">
                  <c:v>6294.3</c:v>
                </c:pt>
                <c:pt idx="16">
                  <c:v>4920.7299999999996</c:v>
                </c:pt>
                <c:pt idx="17">
                  <c:v>6246.92</c:v>
                </c:pt>
                <c:pt idx="18">
                  <c:v>6187.9</c:v>
                </c:pt>
                <c:pt idx="19">
                  <c:v>1928.78</c:v>
                </c:pt>
                <c:pt idx="20">
                  <c:v>6764.67</c:v>
                </c:pt>
                <c:pt idx="21">
                  <c:v>1491.9</c:v>
                </c:pt>
                <c:pt idx="22">
                  <c:v>6614.41</c:v>
                </c:pt>
                <c:pt idx="23">
                  <c:v>1946.48</c:v>
                </c:pt>
                <c:pt idx="24">
                  <c:v>5454.5</c:v>
                </c:pt>
                <c:pt idx="25">
                  <c:v>2660.08</c:v>
                </c:pt>
                <c:pt idx="26">
                  <c:v>6298.64</c:v>
                </c:pt>
                <c:pt idx="27">
                  <c:v>2497.1799999999998</c:v>
                </c:pt>
                <c:pt idx="28">
                  <c:v>5419.39</c:v>
                </c:pt>
                <c:pt idx="29">
                  <c:v>3761.82</c:v>
                </c:pt>
                <c:pt idx="30">
                  <c:v>3398.07</c:v>
                </c:pt>
                <c:pt idx="31">
                  <c:v>3618.36</c:v>
                </c:pt>
                <c:pt idx="32">
                  <c:v>2182.21</c:v>
                </c:pt>
                <c:pt idx="33">
                  <c:v>3414.4</c:v>
                </c:pt>
                <c:pt idx="34">
                  <c:v>2261.1</c:v>
                </c:pt>
                <c:pt idx="35">
                  <c:v>3011.13</c:v>
                </c:pt>
                <c:pt idx="36">
                  <c:v>4778.59</c:v>
                </c:pt>
                <c:pt idx="37">
                  <c:v>1301.31</c:v>
                </c:pt>
                <c:pt idx="38">
                  <c:v>6352.12</c:v>
                </c:pt>
                <c:pt idx="39">
                  <c:v>2435.48</c:v>
                </c:pt>
                <c:pt idx="40">
                  <c:v>2283.7199999999998</c:v>
                </c:pt>
                <c:pt idx="41">
                  <c:v>1035.3800000000001</c:v>
                </c:pt>
                <c:pt idx="42">
                  <c:v>3333.14</c:v>
                </c:pt>
                <c:pt idx="43">
                  <c:v>3571.68</c:v>
                </c:pt>
                <c:pt idx="44">
                  <c:v>3821.84</c:v>
                </c:pt>
                <c:pt idx="45">
                  <c:v>3841.37</c:v>
                </c:pt>
                <c:pt idx="46">
                  <c:v>1648.59</c:v>
                </c:pt>
                <c:pt idx="47">
                  <c:v>2809.5</c:v>
                </c:pt>
                <c:pt idx="48">
                  <c:v>5933.99</c:v>
                </c:pt>
                <c:pt idx="49">
                  <c:v>4229.04</c:v>
                </c:pt>
                <c:pt idx="50">
                  <c:v>3273.94</c:v>
                </c:pt>
                <c:pt idx="51">
                  <c:v>6688.38</c:v>
                </c:pt>
                <c:pt idx="52">
                  <c:v>2459.83</c:v>
                </c:pt>
                <c:pt idx="53">
                  <c:v>1723.94</c:v>
                </c:pt>
                <c:pt idx="54">
                  <c:v>1603.16</c:v>
                </c:pt>
                <c:pt idx="55">
                  <c:v>1757.68</c:v>
                </c:pt>
                <c:pt idx="56">
                  <c:v>3404.24</c:v>
                </c:pt>
                <c:pt idx="57">
                  <c:v>5744.44</c:v>
                </c:pt>
                <c:pt idx="58">
                  <c:v>1595.4</c:v>
                </c:pt>
                <c:pt idx="59">
                  <c:v>3819.47</c:v>
                </c:pt>
                <c:pt idx="60">
                  <c:v>4267.37</c:v>
                </c:pt>
                <c:pt idx="61">
                  <c:v>5132.07</c:v>
                </c:pt>
                <c:pt idx="62">
                  <c:v>6771.47</c:v>
                </c:pt>
                <c:pt idx="63">
                  <c:v>3615.31</c:v>
                </c:pt>
                <c:pt idx="64">
                  <c:v>3402.71</c:v>
                </c:pt>
                <c:pt idx="65">
                  <c:v>2125.5</c:v>
                </c:pt>
                <c:pt idx="66">
                  <c:v>1173.22</c:v>
                </c:pt>
                <c:pt idx="67">
                  <c:v>3990.25</c:v>
                </c:pt>
                <c:pt idx="68">
                  <c:v>6275.96</c:v>
                </c:pt>
                <c:pt idx="69">
                  <c:v>4479.54</c:v>
                </c:pt>
                <c:pt idx="70">
                  <c:v>3297.83</c:v>
                </c:pt>
                <c:pt idx="71">
                  <c:v>6245.14</c:v>
                </c:pt>
                <c:pt idx="72">
                  <c:v>3384.9</c:v>
                </c:pt>
                <c:pt idx="73">
                  <c:v>5106.3999999999996</c:v>
                </c:pt>
                <c:pt idx="74">
                  <c:v>5776.86</c:v>
                </c:pt>
                <c:pt idx="75">
                  <c:v>2444.98</c:v>
                </c:pt>
                <c:pt idx="76">
                  <c:v>3073.39</c:v>
                </c:pt>
                <c:pt idx="77">
                  <c:v>4448.87</c:v>
                </c:pt>
                <c:pt idx="78">
                  <c:v>3113.93</c:v>
                </c:pt>
                <c:pt idx="79">
                  <c:v>1540.8</c:v>
                </c:pt>
                <c:pt idx="80">
                  <c:v>6665.13</c:v>
                </c:pt>
                <c:pt idx="81">
                  <c:v>6803.62</c:v>
                </c:pt>
                <c:pt idx="82">
                  <c:v>4831.3</c:v>
                </c:pt>
                <c:pt idx="83">
                  <c:v>6456.33</c:v>
                </c:pt>
                <c:pt idx="84">
                  <c:v>3226.07</c:v>
                </c:pt>
                <c:pt idx="85">
                  <c:v>3660.3</c:v>
                </c:pt>
                <c:pt idx="86">
                  <c:v>2272.63</c:v>
                </c:pt>
                <c:pt idx="87">
                  <c:v>2397.9899999999998</c:v>
                </c:pt>
                <c:pt idx="88">
                  <c:v>1154.68</c:v>
                </c:pt>
                <c:pt idx="89">
                  <c:v>1381.35</c:v>
                </c:pt>
                <c:pt idx="90">
                  <c:v>4860.04</c:v>
                </c:pt>
                <c:pt idx="91">
                  <c:v>1394.09</c:v>
                </c:pt>
                <c:pt idx="92">
                  <c:v>5210.68</c:v>
                </c:pt>
                <c:pt idx="93">
                  <c:v>2529.34</c:v>
                </c:pt>
                <c:pt idx="94">
                  <c:v>4518.79</c:v>
                </c:pt>
                <c:pt idx="95">
                  <c:v>1928.38</c:v>
                </c:pt>
                <c:pt idx="96">
                  <c:v>4340.4399999999996</c:v>
                </c:pt>
                <c:pt idx="97">
                  <c:v>5445.81</c:v>
                </c:pt>
                <c:pt idx="98">
                  <c:v>6300.05</c:v>
                </c:pt>
                <c:pt idx="99">
                  <c:v>1682.91</c:v>
                </c:pt>
                <c:pt idx="100">
                  <c:v>6671.94</c:v>
                </c:pt>
                <c:pt idx="101">
                  <c:v>6000.13</c:v>
                </c:pt>
                <c:pt idx="102">
                  <c:v>4840.8500000000004</c:v>
                </c:pt>
                <c:pt idx="103">
                  <c:v>4143.78</c:v>
                </c:pt>
                <c:pt idx="104">
                  <c:v>5657.37</c:v>
                </c:pt>
                <c:pt idx="105">
                  <c:v>6707.75</c:v>
                </c:pt>
                <c:pt idx="106">
                  <c:v>3653.25</c:v>
                </c:pt>
                <c:pt idx="107">
                  <c:v>6185.5</c:v>
                </c:pt>
                <c:pt idx="108">
                  <c:v>4008.2</c:v>
                </c:pt>
                <c:pt idx="109">
                  <c:v>3636.53</c:v>
                </c:pt>
                <c:pt idx="110">
                  <c:v>4347.78</c:v>
                </c:pt>
                <c:pt idx="111">
                  <c:v>5190.88</c:v>
                </c:pt>
                <c:pt idx="112">
                  <c:v>6474.69</c:v>
                </c:pt>
                <c:pt idx="113">
                  <c:v>1825.39</c:v>
                </c:pt>
                <c:pt idx="114">
                  <c:v>1925.52</c:v>
                </c:pt>
                <c:pt idx="115">
                  <c:v>5514.35</c:v>
                </c:pt>
                <c:pt idx="116">
                  <c:v>4017.44</c:v>
                </c:pt>
                <c:pt idx="117">
                  <c:v>4095.46</c:v>
                </c:pt>
                <c:pt idx="118">
                  <c:v>6582.83</c:v>
                </c:pt>
                <c:pt idx="119">
                  <c:v>5748.28</c:v>
                </c:pt>
                <c:pt idx="120">
                  <c:v>6009.78</c:v>
                </c:pt>
                <c:pt idx="121">
                  <c:v>3998.98</c:v>
                </c:pt>
                <c:pt idx="122">
                  <c:v>1513.68</c:v>
                </c:pt>
                <c:pt idx="123">
                  <c:v>3239.81</c:v>
                </c:pt>
                <c:pt idx="124">
                  <c:v>5881.05</c:v>
                </c:pt>
                <c:pt idx="125">
                  <c:v>2196.8200000000002</c:v>
                </c:pt>
                <c:pt idx="126">
                  <c:v>6172.83</c:v>
                </c:pt>
                <c:pt idx="127">
                  <c:v>3985.14</c:v>
                </c:pt>
                <c:pt idx="128">
                  <c:v>2838.98</c:v>
                </c:pt>
                <c:pt idx="129">
                  <c:v>3437.26</c:v>
                </c:pt>
                <c:pt idx="130">
                  <c:v>6696.8</c:v>
                </c:pt>
                <c:pt idx="131">
                  <c:v>2672.14</c:v>
                </c:pt>
                <c:pt idx="132">
                  <c:v>2713.46</c:v>
                </c:pt>
                <c:pt idx="133">
                  <c:v>4299.9799999999996</c:v>
                </c:pt>
                <c:pt idx="134">
                  <c:v>1157.7</c:v>
                </c:pt>
                <c:pt idx="135">
                  <c:v>5614.99</c:v>
                </c:pt>
                <c:pt idx="136">
                  <c:v>5606.69</c:v>
                </c:pt>
                <c:pt idx="137">
                  <c:v>6684.9</c:v>
                </c:pt>
                <c:pt idx="138">
                  <c:v>4483.88</c:v>
                </c:pt>
                <c:pt idx="139">
                  <c:v>2587.94</c:v>
                </c:pt>
                <c:pt idx="140">
                  <c:v>3721.26</c:v>
                </c:pt>
                <c:pt idx="141">
                  <c:v>1784.6</c:v>
                </c:pt>
                <c:pt idx="142">
                  <c:v>6184.98</c:v>
                </c:pt>
                <c:pt idx="143">
                  <c:v>2851.24</c:v>
                </c:pt>
                <c:pt idx="144">
                  <c:v>6057.1</c:v>
                </c:pt>
                <c:pt idx="145">
                  <c:v>4370.8999999999996</c:v>
                </c:pt>
                <c:pt idx="146">
                  <c:v>1580.09</c:v>
                </c:pt>
                <c:pt idx="147">
                  <c:v>5281.55</c:v>
                </c:pt>
                <c:pt idx="148">
                  <c:v>5969.74</c:v>
                </c:pt>
                <c:pt idx="149">
                  <c:v>4581.46</c:v>
                </c:pt>
                <c:pt idx="150">
                  <c:v>5647.64</c:v>
                </c:pt>
                <c:pt idx="151">
                  <c:v>5143</c:v>
                </c:pt>
                <c:pt idx="152">
                  <c:v>3260.95</c:v>
                </c:pt>
                <c:pt idx="153">
                  <c:v>6648.91</c:v>
                </c:pt>
                <c:pt idx="154">
                  <c:v>4259.1499999999996</c:v>
                </c:pt>
                <c:pt idx="155">
                  <c:v>2212.41</c:v>
                </c:pt>
                <c:pt idx="156">
                  <c:v>1314.95</c:v>
                </c:pt>
                <c:pt idx="157">
                  <c:v>6783.48</c:v>
                </c:pt>
                <c:pt idx="158">
                  <c:v>2054.73</c:v>
                </c:pt>
                <c:pt idx="159">
                  <c:v>3010.25</c:v>
                </c:pt>
                <c:pt idx="160">
                  <c:v>3753.49</c:v>
                </c:pt>
                <c:pt idx="161">
                  <c:v>1520.43</c:v>
                </c:pt>
                <c:pt idx="162">
                  <c:v>5337.3</c:v>
                </c:pt>
                <c:pt idx="163">
                  <c:v>6326.81</c:v>
                </c:pt>
                <c:pt idx="164">
                  <c:v>3241.75</c:v>
                </c:pt>
                <c:pt idx="165">
                  <c:v>1673.25</c:v>
                </c:pt>
                <c:pt idx="166">
                  <c:v>4062.25</c:v>
                </c:pt>
                <c:pt idx="167">
                  <c:v>1018.09</c:v>
                </c:pt>
                <c:pt idx="168">
                  <c:v>1812.57</c:v>
                </c:pt>
                <c:pt idx="169">
                  <c:v>3086.62</c:v>
                </c:pt>
                <c:pt idx="170">
                  <c:v>3544.77</c:v>
                </c:pt>
                <c:pt idx="171">
                  <c:v>1403.75</c:v>
                </c:pt>
                <c:pt idx="172">
                  <c:v>6960.9</c:v>
                </c:pt>
                <c:pt idx="173">
                  <c:v>2650.92</c:v>
                </c:pt>
                <c:pt idx="174">
                  <c:v>2799.33</c:v>
                </c:pt>
                <c:pt idx="175">
                  <c:v>4343.72</c:v>
                </c:pt>
                <c:pt idx="176">
                  <c:v>1309.22</c:v>
                </c:pt>
                <c:pt idx="177">
                  <c:v>6442.2</c:v>
                </c:pt>
                <c:pt idx="178">
                  <c:v>2435.9899999999998</c:v>
                </c:pt>
                <c:pt idx="179">
                  <c:v>5334.48</c:v>
                </c:pt>
                <c:pt idx="180">
                  <c:v>2771.15</c:v>
                </c:pt>
                <c:pt idx="181">
                  <c:v>2009.4</c:v>
                </c:pt>
                <c:pt idx="182">
                  <c:v>5009.29</c:v>
                </c:pt>
                <c:pt idx="183">
                  <c:v>5000.53</c:v>
                </c:pt>
                <c:pt idx="184">
                  <c:v>5878.94</c:v>
                </c:pt>
                <c:pt idx="185">
                  <c:v>2603.9499999999998</c:v>
                </c:pt>
                <c:pt idx="186">
                  <c:v>1561</c:v>
                </c:pt>
                <c:pt idx="187">
                  <c:v>6843.04</c:v>
                </c:pt>
                <c:pt idx="188">
                  <c:v>6572.6</c:v>
                </c:pt>
                <c:pt idx="189">
                  <c:v>6096.65</c:v>
                </c:pt>
                <c:pt idx="190">
                  <c:v>4683.1899999999996</c:v>
                </c:pt>
                <c:pt idx="191">
                  <c:v>4515.25</c:v>
                </c:pt>
                <c:pt idx="192">
                  <c:v>2900.07</c:v>
                </c:pt>
                <c:pt idx="193">
                  <c:v>4074.65</c:v>
                </c:pt>
                <c:pt idx="194">
                  <c:v>4357.22</c:v>
                </c:pt>
                <c:pt idx="195">
                  <c:v>3526.61</c:v>
                </c:pt>
                <c:pt idx="196">
                  <c:v>6692.94</c:v>
                </c:pt>
                <c:pt idx="197">
                  <c:v>2885.1</c:v>
                </c:pt>
                <c:pt idx="198">
                  <c:v>4383.1000000000004</c:v>
                </c:pt>
                <c:pt idx="199">
                  <c:v>1835.07</c:v>
                </c:pt>
                <c:pt idx="200">
                  <c:v>6522.35</c:v>
                </c:pt>
                <c:pt idx="201">
                  <c:v>1998.03</c:v>
                </c:pt>
                <c:pt idx="202">
                  <c:v>4112.79</c:v>
                </c:pt>
                <c:pt idx="203">
                  <c:v>1515.13</c:v>
                </c:pt>
                <c:pt idx="204">
                  <c:v>2801.58</c:v>
                </c:pt>
                <c:pt idx="205">
                  <c:v>6750.78</c:v>
                </c:pt>
                <c:pt idx="206">
                  <c:v>3333.01</c:v>
                </c:pt>
                <c:pt idx="207">
                  <c:v>6175.82</c:v>
                </c:pt>
                <c:pt idx="208">
                  <c:v>4541.01</c:v>
                </c:pt>
                <c:pt idx="209">
                  <c:v>3538.23</c:v>
                </c:pt>
                <c:pt idx="210">
                  <c:v>3154.24</c:v>
                </c:pt>
                <c:pt idx="211">
                  <c:v>3932.2</c:v>
                </c:pt>
                <c:pt idx="212">
                  <c:v>5595.52</c:v>
                </c:pt>
                <c:pt idx="213">
                  <c:v>6938.65</c:v>
                </c:pt>
                <c:pt idx="214">
                  <c:v>2421.6799999999998</c:v>
                </c:pt>
                <c:pt idx="215">
                  <c:v>2686.51</c:v>
                </c:pt>
                <c:pt idx="216">
                  <c:v>6196.47</c:v>
                </c:pt>
                <c:pt idx="217">
                  <c:v>3711.95</c:v>
                </c:pt>
                <c:pt idx="218">
                  <c:v>3750.7</c:v>
                </c:pt>
                <c:pt idx="219">
                  <c:v>1783.57</c:v>
                </c:pt>
                <c:pt idx="220">
                  <c:v>3566.8</c:v>
                </c:pt>
                <c:pt idx="221">
                  <c:v>4753.63</c:v>
                </c:pt>
                <c:pt idx="222">
                  <c:v>1048.3800000000001</c:v>
                </c:pt>
                <c:pt idx="223">
                  <c:v>3205.37</c:v>
                </c:pt>
                <c:pt idx="224">
                  <c:v>3640.6</c:v>
                </c:pt>
                <c:pt idx="225">
                  <c:v>3109.21</c:v>
                </c:pt>
                <c:pt idx="226">
                  <c:v>5142.8599999999997</c:v>
                </c:pt>
                <c:pt idx="227">
                  <c:v>4828.49</c:v>
                </c:pt>
                <c:pt idx="228">
                  <c:v>5576.36</c:v>
                </c:pt>
                <c:pt idx="229">
                  <c:v>3541.45</c:v>
                </c:pt>
                <c:pt idx="230">
                  <c:v>4518.62</c:v>
                </c:pt>
                <c:pt idx="231">
                  <c:v>5450.16</c:v>
                </c:pt>
                <c:pt idx="232">
                  <c:v>1761.58</c:v>
                </c:pt>
                <c:pt idx="233">
                  <c:v>3976.89</c:v>
                </c:pt>
                <c:pt idx="234">
                  <c:v>1015.41</c:v>
                </c:pt>
                <c:pt idx="235">
                  <c:v>2489.58</c:v>
                </c:pt>
                <c:pt idx="236">
                  <c:v>1413.56</c:v>
                </c:pt>
                <c:pt idx="237">
                  <c:v>5437.46</c:v>
                </c:pt>
                <c:pt idx="238">
                  <c:v>4249.2700000000004</c:v>
                </c:pt>
                <c:pt idx="239">
                  <c:v>6835.36</c:v>
                </c:pt>
                <c:pt idx="240">
                  <c:v>4032.57</c:v>
                </c:pt>
                <c:pt idx="241">
                  <c:v>2957.51</c:v>
                </c:pt>
                <c:pt idx="242">
                  <c:v>1724.42</c:v>
                </c:pt>
                <c:pt idx="243">
                  <c:v>2290.12</c:v>
                </c:pt>
                <c:pt idx="244">
                  <c:v>4300.7299999999996</c:v>
                </c:pt>
                <c:pt idx="245">
                  <c:v>4868.1099999999997</c:v>
                </c:pt>
                <c:pt idx="246">
                  <c:v>6544.79</c:v>
                </c:pt>
                <c:pt idx="247">
                  <c:v>1891.79</c:v>
                </c:pt>
                <c:pt idx="248">
                  <c:v>4154.88</c:v>
                </c:pt>
                <c:pt idx="249">
                  <c:v>2913.27</c:v>
                </c:pt>
                <c:pt idx="250">
                  <c:v>2446.92</c:v>
                </c:pt>
                <c:pt idx="251">
                  <c:v>5428.63</c:v>
                </c:pt>
                <c:pt idx="252">
                  <c:v>3942.62</c:v>
                </c:pt>
                <c:pt idx="253">
                  <c:v>6512.68</c:v>
                </c:pt>
                <c:pt idx="254">
                  <c:v>3019.37</c:v>
                </c:pt>
                <c:pt idx="255">
                  <c:v>2339.42</c:v>
                </c:pt>
                <c:pt idx="256">
                  <c:v>2909.3</c:v>
                </c:pt>
                <c:pt idx="257">
                  <c:v>1532.36</c:v>
                </c:pt>
                <c:pt idx="258">
                  <c:v>5395.51</c:v>
                </c:pt>
                <c:pt idx="259">
                  <c:v>2353.5</c:v>
                </c:pt>
                <c:pt idx="260">
                  <c:v>4282.28</c:v>
                </c:pt>
                <c:pt idx="261">
                  <c:v>6846.39</c:v>
                </c:pt>
                <c:pt idx="262">
                  <c:v>3945.69</c:v>
                </c:pt>
                <c:pt idx="263">
                  <c:v>1491.62</c:v>
                </c:pt>
                <c:pt idx="264">
                  <c:v>3216.41</c:v>
                </c:pt>
                <c:pt idx="265">
                  <c:v>5008.8500000000004</c:v>
                </c:pt>
                <c:pt idx="266">
                  <c:v>3857.57</c:v>
                </c:pt>
                <c:pt idx="267">
                  <c:v>6906.21</c:v>
                </c:pt>
                <c:pt idx="268">
                  <c:v>5362.62</c:v>
                </c:pt>
                <c:pt idx="269">
                  <c:v>5690.11</c:v>
                </c:pt>
                <c:pt idx="270">
                  <c:v>6280.81</c:v>
                </c:pt>
                <c:pt idx="271">
                  <c:v>3410.32</c:v>
                </c:pt>
                <c:pt idx="272">
                  <c:v>3949.72</c:v>
                </c:pt>
                <c:pt idx="273">
                  <c:v>3650.3</c:v>
                </c:pt>
                <c:pt idx="274">
                  <c:v>6107.77</c:v>
                </c:pt>
                <c:pt idx="275">
                  <c:v>5941.04</c:v>
                </c:pt>
                <c:pt idx="276">
                  <c:v>1981.08</c:v>
                </c:pt>
                <c:pt idx="277">
                  <c:v>5066.17</c:v>
                </c:pt>
                <c:pt idx="278">
                  <c:v>2832.76</c:v>
                </c:pt>
                <c:pt idx="279">
                  <c:v>1044.0899999999999</c:v>
                </c:pt>
                <c:pt idx="280">
                  <c:v>2566.88</c:v>
                </c:pt>
                <c:pt idx="281">
                  <c:v>4932.3999999999996</c:v>
                </c:pt>
                <c:pt idx="282">
                  <c:v>4207.8100000000004</c:v>
                </c:pt>
                <c:pt idx="283">
                  <c:v>5351.12</c:v>
                </c:pt>
                <c:pt idx="284">
                  <c:v>6107.28</c:v>
                </c:pt>
                <c:pt idx="285">
                  <c:v>3478.64</c:v>
                </c:pt>
                <c:pt idx="286">
                  <c:v>4786.2</c:v>
                </c:pt>
                <c:pt idx="287">
                  <c:v>4800.93</c:v>
                </c:pt>
                <c:pt idx="288">
                  <c:v>1024.74</c:v>
                </c:pt>
                <c:pt idx="289">
                  <c:v>2744.97</c:v>
                </c:pt>
                <c:pt idx="290">
                  <c:v>5363.01</c:v>
                </c:pt>
                <c:pt idx="291">
                  <c:v>6968.08</c:v>
                </c:pt>
                <c:pt idx="292">
                  <c:v>5114.4399999999996</c:v>
                </c:pt>
                <c:pt idx="293">
                  <c:v>1684.08</c:v>
                </c:pt>
                <c:pt idx="294">
                  <c:v>6462.14</c:v>
                </c:pt>
                <c:pt idx="295">
                  <c:v>1607.74</c:v>
                </c:pt>
                <c:pt idx="296">
                  <c:v>2876.24</c:v>
                </c:pt>
                <c:pt idx="297">
                  <c:v>1557.71</c:v>
                </c:pt>
                <c:pt idx="298">
                  <c:v>5358.47</c:v>
                </c:pt>
                <c:pt idx="299">
                  <c:v>5106.78</c:v>
                </c:pt>
                <c:pt idx="300">
                  <c:v>5461.74</c:v>
                </c:pt>
                <c:pt idx="301">
                  <c:v>4982.26</c:v>
                </c:pt>
                <c:pt idx="302">
                  <c:v>2923.8</c:v>
                </c:pt>
                <c:pt idx="303">
                  <c:v>3688.59</c:v>
                </c:pt>
                <c:pt idx="304">
                  <c:v>1545.37</c:v>
                </c:pt>
                <c:pt idx="305">
                  <c:v>4599.71</c:v>
                </c:pt>
                <c:pt idx="306">
                  <c:v>1984.93</c:v>
                </c:pt>
                <c:pt idx="307">
                  <c:v>2143.4699999999998</c:v>
                </c:pt>
                <c:pt idx="308">
                  <c:v>5417.28</c:v>
                </c:pt>
                <c:pt idx="309">
                  <c:v>4636.96</c:v>
                </c:pt>
                <c:pt idx="310">
                  <c:v>4615.1499999999996</c:v>
                </c:pt>
                <c:pt idx="311">
                  <c:v>6527.15</c:v>
                </c:pt>
                <c:pt idx="312">
                  <c:v>4423.83</c:v>
                </c:pt>
                <c:pt idx="313">
                  <c:v>1339.63</c:v>
                </c:pt>
                <c:pt idx="314">
                  <c:v>3715.57</c:v>
                </c:pt>
                <c:pt idx="315">
                  <c:v>5728.67</c:v>
                </c:pt>
                <c:pt idx="316">
                  <c:v>4279.6899999999996</c:v>
                </c:pt>
                <c:pt idx="317">
                  <c:v>3571.05</c:v>
                </c:pt>
                <c:pt idx="318">
                  <c:v>4752.2</c:v>
                </c:pt>
                <c:pt idx="319">
                  <c:v>1956.22</c:v>
                </c:pt>
                <c:pt idx="320">
                  <c:v>4368.01</c:v>
                </c:pt>
                <c:pt idx="321">
                  <c:v>6669.93</c:v>
                </c:pt>
                <c:pt idx="322">
                  <c:v>4909.17</c:v>
                </c:pt>
                <c:pt idx="323">
                  <c:v>2279.0500000000002</c:v>
                </c:pt>
                <c:pt idx="324">
                  <c:v>1325.61</c:v>
                </c:pt>
                <c:pt idx="325">
                  <c:v>5039.79</c:v>
                </c:pt>
                <c:pt idx="326">
                  <c:v>2689.1</c:v>
                </c:pt>
                <c:pt idx="327">
                  <c:v>1864.45</c:v>
                </c:pt>
                <c:pt idx="328">
                  <c:v>2828.15</c:v>
                </c:pt>
                <c:pt idx="329">
                  <c:v>4403.76</c:v>
                </c:pt>
                <c:pt idx="330">
                  <c:v>4483.57</c:v>
                </c:pt>
                <c:pt idx="331">
                  <c:v>5160.75</c:v>
                </c:pt>
                <c:pt idx="332">
                  <c:v>3616.74</c:v>
                </c:pt>
                <c:pt idx="333">
                  <c:v>6050.76</c:v>
                </c:pt>
                <c:pt idx="334">
                  <c:v>2276.56</c:v>
                </c:pt>
                <c:pt idx="335">
                  <c:v>1803.29</c:v>
                </c:pt>
                <c:pt idx="336">
                  <c:v>2074.87</c:v>
                </c:pt>
                <c:pt idx="337">
                  <c:v>2240.64</c:v>
                </c:pt>
                <c:pt idx="338">
                  <c:v>4266.1000000000004</c:v>
                </c:pt>
                <c:pt idx="339">
                  <c:v>6206.32</c:v>
                </c:pt>
                <c:pt idx="340">
                  <c:v>1901.44</c:v>
                </c:pt>
                <c:pt idx="341">
                  <c:v>4544.75</c:v>
                </c:pt>
                <c:pt idx="342">
                  <c:v>2080.23</c:v>
                </c:pt>
                <c:pt idx="343">
                  <c:v>5982.18</c:v>
                </c:pt>
                <c:pt idx="344">
                  <c:v>1413.06</c:v>
                </c:pt>
                <c:pt idx="345">
                  <c:v>4688.49</c:v>
                </c:pt>
                <c:pt idx="346">
                  <c:v>3524.1</c:v>
                </c:pt>
                <c:pt idx="347">
                  <c:v>1803.3</c:v>
                </c:pt>
                <c:pt idx="348">
                  <c:v>1042.68</c:v>
                </c:pt>
                <c:pt idx="349">
                  <c:v>2567.8200000000002</c:v>
                </c:pt>
                <c:pt idx="350">
                  <c:v>3902.56</c:v>
                </c:pt>
                <c:pt idx="351">
                  <c:v>5716.49</c:v>
                </c:pt>
                <c:pt idx="352">
                  <c:v>1480.24</c:v>
                </c:pt>
                <c:pt idx="353">
                  <c:v>1064.26</c:v>
                </c:pt>
                <c:pt idx="354">
                  <c:v>6853.88</c:v>
                </c:pt>
                <c:pt idx="355">
                  <c:v>1541</c:v>
                </c:pt>
                <c:pt idx="356">
                  <c:v>2566.65</c:v>
                </c:pt>
                <c:pt idx="357">
                  <c:v>6796.33</c:v>
                </c:pt>
                <c:pt idx="358">
                  <c:v>4801.97</c:v>
                </c:pt>
                <c:pt idx="359">
                  <c:v>3393.58</c:v>
                </c:pt>
                <c:pt idx="360">
                  <c:v>2198</c:v>
                </c:pt>
                <c:pt idx="361">
                  <c:v>5054.87</c:v>
                </c:pt>
                <c:pt idx="362">
                  <c:v>6906.37</c:v>
                </c:pt>
                <c:pt idx="363">
                  <c:v>5118.03</c:v>
                </c:pt>
                <c:pt idx="364">
                  <c:v>3169.61</c:v>
                </c:pt>
                <c:pt idx="365">
                  <c:v>3233.86</c:v>
                </c:pt>
                <c:pt idx="366">
                  <c:v>3285.3</c:v>
                </c:pt>
                <c:pt idx="367">
                  <c:v>5712</c:v>
                </c:pt>
                <c:pt idx="368">
                  <c:v>5467.56</c:v>
                </c:pt>
                <c:pt idx="369">
                  <c:v>4894.79</c:v>
                </c:pt>
                <c:pt idx="370">
                  <c:v>1869.09</c:v>
                </c:pt>
                <c:pt idx="371">
                  <c:v>2901.27</c:v>
                </c:pt>
                <c:pt idx="372">
                  <c:v>6125.27</c:v>
                </c:pt>
                <c:pt idx="373">
                  <c:v>3382.08</c:v>
                </c:pt>
                <c:pt idx="374">
                  <c:v>1758.47</c:v>
                </c:pt>
                <c:pt idx="375">
                  <c:v>4544.99</c:v>
                </c:pt>
                <c:pt idx="376">
                  <c:v>3194.7</c:v>
                </c:pt>
                <c:pt idx="377">
                  <c:v>6681.75</c:v>
                </c:pt>
                <c:pt idx="378">
                  <c:v>1979.62</c:v>
                </c:pt>
                <c:pt idx="379">
                  <c:v>4890.74</c:v>
                </c:pt>
                <c:pt idx="380">
                  <c:v>2923.86</c:v>
                </c:pt>
                <c:pt idx="381">
                  <c:v>1904.1</c:v>
                </c:pt>
                <c:pt idx="382">
                  <c:v>3354.53</c:v>
                </c:pt>
                <c:pt idx="383">
                  <c:v>6967.21</c:v>
                </c:pt>
                <c:pt idx="384">
                  <c:v>1253.1199999999999</c:v>
                </c:pt>
                <c:pt idx="385">
                  <c:v>5766.34</c:v>
                </c:pt>
                <c:pt idx="386">
                  <c:v>1548.41</c:v>
                </c:pt>
                <c:pt idx="387">
                  <c:v>4350.1000000000004</c:v>
                </c:pt>
                <c:pt idx="388">
                  <c:v>4354.1499999999996</c:v>
                </c:pt>
                <c:pt idx="389">
                  <c:v>3696.31</c:v>
                </c:pt>
                <c:pt idx="390">
                  <c:v>1380.05</c:v>
                </c:pt>
                <c:pt idx="391">
                  <c:v>1400.08</c:v>
                </c:pt>
                <c:pt idx="392">
                  <c:v>5207.88</c:v>
                </c:pt>
                <c:pt idx="393">
                  <c:v>4348.12</c:v>
                </c:pt>
                <c:pt idx="394">
                  <c:v>6763.52</c:v>
                </c:pt>
                <c:pt idx="395">
                  <c:v>5476.65</c:v>
                </c:pt>
                <c:pt idx="396">
                  <c:v>6990.6</c:v>
                </c:pt>
                <c:pt idx="397">
                  <c:v>4378.87</c:v>
                </c:pt>
                <c:pt idx="398">
                  <c:v>4105.66</c:v>
                </c:pt>
                <c:pt idx="399">
                  <c:v>1226.42</c:v>
                </c:pt>
                <c:pt idx="400">
                  <c:v>5341.48</c:v>
                </c:pt>
                <c:pt idx="401">
                  <c:v>5680.73</c:v>
                </c:pt>
                <c:pt idx="402">
                  <c:v>3294.92</c:v>
                </c:pt>
                <c:pt idx="403">
                  <c:v>5517.04</c:v>
                </c:pt>
                <c:pt idx="404">
                  <c:v>1510.47</c:v>
                </c:pt>
                <c:pt idx="405">
                  <c:v>5414.01</c:v>
                </c:pt>
                <c:pt idx="406">
                  <c:v>2924.43</c:v>
                </c:pt>
                <c:pt idx="407">
                  <c:v>1935.95</c:v>
                </c:pt>
                <c:pt idx="408">
                  <c:v>1136.49</c:v>
                </c:pt>
                <c:pt idx="409">
                  <c:v>1110.33</c:v>
                </c:pt>
                <c:pt idx="410">
                  <c:v>4977.8900000000003</c:v>
                </c:pt>
                <c:pt idx="411">
                  <c:v>2118.5</c:v>
                </c:pt>
                <c:pt idx="412">
                  <c:v>5105.87</c:v>
                </c:pt>
                <c:pt idx="413">
                  <c:v>6383.05</c:v>
                </c:pt>
                <c:pt idx="414">
                  <c:v>2975.71</c:v>
                </c:pt>
                <c:pt idx="415">
                  <c:v>6454.01</c:v>
                </c:pt>
                <c:pt idx="416">
                  <c:v>5592.61</c:v>
                </c:pt>
                <c:pt idx="417">
                  <c:v>4402.26</c:v>
                </c:pt>
                <c:pt idx="418">
                  <c:v>2103.86</c:v>
                </c:pt>
                <c:pt idx="419">
                  <c:v>5546.66</c:v>
                </c:pt>
                <c:pt idx="420">
                  <c:v>4647.58</c:v>
                </c:pt>
                <c:pt idx="421">
                  <c:v>2474.33</c:v>
                </c:pt>
                <c:pt idx="422">
                  <c:v>3534.77</c:v>
                </c:pt>
                <c:pt idx="423">
                  <c:v>5176.68</c:v>
                </c:pt>
                <c:pt idx="424">
                  <c:v>5268.82</c:v>
                </c:pt>
                <c:pt idx="425">
                  <c:v>1959.4</c:v>
                </c:pt>
                <c:pt idx="426">
                  <c:v>2857.11</c:v>
                </c:pt>
                <c:pt idx="427">
                  <c:v>4261.01</c:v>
                </c:pt>
                <c:pt idx="428">
                  <c:v>6293.01</c:v>
                </c:pt>
                <c:pt idx="429">
                  <c:v>6028.09</c:v>
                </c:pt>
                <c:pt idx="430">
                  <c:v>4433.7</c:v>
                </c:pt>
                <c:pt idx="431">
                  <c:v>1389.56</c:v>
                </c:pt>
                <c:pt idx="432">
                  <c:v>5378.37</c:v>
                </c:pt>
                <c:pt idx="433">
                  <c:v>4685.74</c:v>
                </c:pt>
                <c:pt idx="434">
                  <c:v>3789.31</c:v>
                </c:pt>
                <c:pt idx="435">
                  <c:v>2207.12</c:v>
                </c:pt>
                <c:pt idx="436">
                  <c:v>4695.96</c:v>
                </c:pt>
                <c:pt idx="437">
                  <c:v>3763.71</c:v>
                </c:pt>
                <c:pt idx="438">
                  <c:v>4464.3900000000003</c:v>
                </c:pt>
                <c:pt idx="439">
                  <c:v>1995.82</c:v>
                </c:pt>
                <c:pt idx="440">
                  <c:v>5976.74</c:v>
                </c:pt>
                <c:pt idx="441">
                  <c:v>1924.47</c:v>
                </c:pt>
                <c:pt idx="442">
                  <c:v>1219.32</c:v>
                </c:pt>
                <c:pt idx="443">
                  <c:v>5597.08</c:v>
                </c:pt>
                <c:pt idx="444">
                  <c:v>1895.92</c:v>
                </c:pt>
                <c:pt idx="445">
                  <c:v>5824.02</c:v>
                </c:pt>
                <c:pt idx="446">
                  <c:v>1516.72</c:v>
                </c:pt>
                <c:pt idx="447">
                  <c:v>5855.8</c:v>
                </c:pt>
                <c:pt idx="448">
                  <c:v>3792.38</c:v>
                </c:pt>
                <c:pt idx="449">
                  <c:v>1181.58</c:v>
                </c:pt>
                <c:pt idx="450">
                  <c:v>5780.55</c:v>
                </c:pt>
                <c:pt idx="451">
                  <c:v>3894.25</c:v>
                </c:pt>
                <c:pt idx="452">
                  <c:v>5017.63</c:v>
                </c:pt>
                <c:pt idx="453">
                  <c:v>5884.4</c:v>
                </c:pt>
                <c:pt idx="454">
                  <c:v>3717.85</c:v>
                </c:pt>
                <c:pt idx="455">
                  <c:v>3065.59</c:v>
                </c:pt>
                <c:pt idx="456">
                  <c:v>5924.52</c:v>
                </c:pt>
                <c:pt idx="457">
                  <c:v>4270.71</c:v>
                </c:pt>
                <c:pt idx="458">
                  <c:v>4890.34</c:v>
                </c:pt>
                <c:pt idx="459">
                  <c:v>5172.34</c:v>
                </c:pt>
                <c:pt idx="460">
                  <c:v>3988.94</c:v>
                </c:pt>
                <c:pt idx="461">
                  <c:v>6770.43</c:v>
                </c:pt>
                <c:pt idx="462">
                  <c:v>6762.47</c:v>
                </c:pt>
                <c:pt idx="463">
                  <c:v>4443.79</c:v>
                </c:pt>
                <c:pt idx="464">
                  <c:v>3838.96</c:v>
                </c:pt>
                <c:pt idx="465">
                  <c:v>5702.58</c:v>
                </c:pt>
                <c:pt idx="466">
                  <c:v>5847.04</c:v>
                </c:pt>
                <c:pt idx="467">
                  <c:v>3477.69</c:v>
                </c:pt>
                <c:pt idx="468">
                  <c:v>3392.47</c:v>
                </c:pt>
                <c:pt idx="469">
                  <c:v>5783.85</c:v>
                </c:pt>
                <c:pt idx="470">
                  <c:v>2602.5300000000002</c:v>
                </c:pt>
                <c:pt idx="471">
                  <c:v>5141.67</c:v>
                </c:pt>
                <c:pt idx="472">
                  <c:v>5351.5</c:v>
                </c:pt>
                <c:pt idx="473">
                  <c:v>4628.1099999999997</c:v>
                </c:pt>
                <c:pt idx="474">
                  <c:v>1454.29</c:v>
                </c:pt>
                <c:pt idx="475">
                  <c:v>6975.75</c:v>
                </c:pt>
                <c:pt idx="476">
                  <c:v>5612.24</c:v>
                </c:pt>
                <c:pt idx="477">
                  <c:v>1112.5899999999999</c:v>
                </c:pt>
                <c:pt idx="478">
                  <c:v>6639.47</c:v>
                </c:pt>
                <c:pt idx="479">
                  <c:v>3153.51</c:v>
                </c:pt>
                <c:pt idx="480">
                  <c:v>4326.8500000000004</c:v>
                </c:pt>
                <c:pt idx="481">
                  <c:v>2158.56</c:v>
                </c:pt>
                <c:pt idx="482">
                  <c:v>5726.67</c:v>
                </c:pt>
                <c:pt idx="483">
                  <c:v>3933.37</c:v>
                </c:pt>
                <c:pt idx="484">
                  <c:v>2024.14</c:v>
                </c:pt>
                <c:pt idx="485">
                  <c:v>2945.41</c:v>
                </c:pt>
                <c:pt idx="486">
                  <c:v>3219.56</c:v>
                </c:pt>
                <c:pt idx="487">
                  <c:v>1534.85</c:v>
                </c:pt>
                <c:pt idx="488">
                  <c:v>2047.29</c:v>
                </c:pt>
                <c:pt idx="489">
                  <c:v>4181.1899999999996</c:v>
                </c:pt>
                <c:pt idx="490">
                  <c:v>6811.44</c:v>
                </c:pt>
                <c:pt idx="491">
                  <c:v>5550.45</c:v>
                </c:pt>
                <c:pt idx="492">
                  <c:v>4478.57</c:v>
                </c:pt>
                <c:pt idx="493">
                  <c:v>3253.19</c:v>
                </c:pt>
                <c:pt idx="494">
                  <c:v>5318.93</c:v>
                </c:pt>
                <c:pt idx="495">
                  <c:v>5562.04</c:v>
                </c:pt>
                <c:pt idx="496">
                  <c:v>6973.99</c:v>
                </c:pt>
                <c:pt idx="497">
                  <c:v>6482.53</c:v>
                </c:pt>
                <c:pt idx="498">
                  <c:v>3714.65</c:v>
                </c:pt>
                <c:pt idx="499">
                  <c:v>2829.02</c:v>
                </c:pt>
              </c:numCache>
            </c:numRef>
          </c:xVal>
          <c:yVal>
            <c:numRef>
              <c:f>Agricultural_Crop_Yield!$N$2:$N$541</c:f>
              <c:numCache>
                <c:formatCode>General</c:formatCode>
                <c:ptCount val="540"/>
                <c:pt idx="0">
                  <c:v>1092.18</c:v>
                </c:pt>
                <c:pt idx="1">
                  <c:v>789.27</c:v>
                </c:pt>
                <c:pt idx="2">
                  <c:v>803.73</c:v>
                </c:pt>
                <c:pt idx="3">
                  <c:v>245.82</c:v>
                </c:pt>
                <c:pt idx="4">
                  <c:v>870.18</c:v>
                </c:pt>
                <c:pt idx="5">
                  <c:v>1042.8499999999999</c:v>
                </c:pt>
                <c:pt idx="6">
                  <c:v>1114.55</c:v>
                </c:pt>
                <c:pt idx="7">
                  <c:v>1197.33</c:v>
                </c:pt>
                <c:pt idx="8">
                  <c:v>795.89</c:v>
                </c:pt>
                <c:pt idx="9">
                  <c:v>634.77</c:v>
                </c:pt>
                <c:pt idx="10">
                  <c:v>962.51</c:v>
                </c:pt>
                <c:pt idx="11">
                  <c:v>440.87</c:v>
                </c:pt>
                <c:pt idx="12">
                  <c:v>1072.43</c:v>
                </c:pt>
                <c:pt idx="13">
                  <c:v>717.58</c:v>
                </c:pt>
                <c:pt idx="14">
                  <c:v>1105.42</c:v>
                </c:pt>
                <c:pt idx="15">
                  <c:v>672.97</c:v>
                </c:pt>
                <c:pt idx="16">
                  <c:v>928.21</c:v>
                </c:pt>
                <c:pt idx="17">
                  <c:v>1061.3499999999999</c:v>
                </c:pt>
                <c:pt idx="18">
                  <c:v>202.16</c:v>
                </c:pt>
                <c:pt idx="19">
                  <c:v>258.48</c:v>
                </c:pt>
                <c:pt idx="20">
                  <c:v>268.52</c:v>
                </c:pt>
                <c:pt idx="21">
                  <c:v>404.26</c:v>
                </c:pt>
                <c:pt idx="22">
                  <c:v>1198.45</c:v>
                </c:pt>
                <c:pt idx="23">
                  <c:v>1187.23</c:v>
                </c:pt>
                <c:pt idx="24">
                  <c:v>804.83</c:v>
                </c:pt>
                <c:pt idx="25">
                  <c:v>330.82</c:v>
                </c:pt>
                <c:pt idx="26">
                  <c:v>1034.5999999999999</c:v>
                </c:pt>
                <c:pt idx="27">
                  <c:v>759.88</c:v>
                </c:pt>
                <c:pt idx="28">
                  <c:v>611.71</c:v>
                </c:pt>
                <c:pt idx="29">
                  <c:v>1071.32</c:v>
                </c:pt>
                <c:pt idx="30">
                  <c:v>315.33999999999997</c:v>
                </c:pt>
                <c:pt idx="31">
                  <c:v>776.59</c:v>
                </c:pt>
                <c:pt idx="32">
                  <c:v>864.24</c:v>
                </c:pt>
                <c:pt idx="33">
                  <c:v>391.84</c:v>
                </c:pt>
                <c:pt idx="34">
                  <c:v>642.16</c:v>
                </c:pt>
                <c:pt idx="35">
                  <c:v>424.64</c:v>
                </c:pt>
                <c:pt idx="36">
                  <c:v>583.98</c:v>
                </c:pt>
                <c:pt idx="37">
                  <c:v>321.36</c:v>
                </c:pt>
                <c:pt idx="38">
                  <c:v>747.87</c:v>
                </c:pt>
                <c:pt idx="39">
                  <c:v>485.73</c:v>
                </c:pt>
                <c:pt idx="40">
                  <c:v>742.61</c:v>
                </c:pt>
                <c:pt idx="41">
                  <c:v>589.99</c:v>
                </c:pt>
                <c:pt idx="42">
                  <c:v>1040.51</c:v>
                </c:pt>
                <c:pt idx="43">
                  <c:v>460.16</c:v>
                </c:pt>
                <c:pt idx="44">
                  <c:v>549.96</c:v>
                </c:pt>
                <c:pt idx="45">
                  <c:v>417.96</c:v>
                </c:pt>
                <c:pt idx="46">
                  <c:v>775.8</c:v>
                </c:pt>
                <c:pt idx="47">
                  <c:v>765.93</c:v>
                </c:pt>
                <c:pt idx="48">
                  <c:v>562.19000000000005</c:v>
                </c:pt>
                <c:pt idx="49">
                  <c:v>1025.73</c:v>
                </c:pt>
                <c:pt idx="50">
                  <c:v>525.01</c:v>
                </c:pt>
                <c:pt idx="51">
                  <c:v>606.42999999999995</c:v>
                </c:pt>
                <c:pt idx="52">
                  <c:v>730.92</c:v>
                </c:pt>
                <c:pt idx="53">
                  <c:v>942.88</c:v>
                </c:pt>
                <c:pt idx="54">
                  <c:v>560.88</c:v>
                </c:pt>
                <c:pt idx="55">
                  <c:v>212.27</c:v>
                </c:pt>
                <c:pt idx="56">
                  <c:v>886.45</c:v>
                </c:pt>
                <c:pt idx="57">
                  <c:v>580.38</c:v>
                </c:pt>
                <c:pt idx="58">
                  <c:v>464.65</c:v>
                </c:pt>
                <c:pt idx="59">
                  <c:v>906.96</c:v>
                </c:pt>
                <c:pt idx="60">
                  <c:v>1026.6300000000001</c:v>
                </c:pt>
                <c:pt idx="61">
                  <c:v>700.47</c:v>
                </c:pt>
                <c:pt idx="62">
                  <c:v>872.28</c:v>
                </c:pt>
                <c:pt idx="63">
                  <c:v>670.01</c:v>
                </c:pt>
                <c:pt idx="64">
                  <c:v>514.52</c:v>
                </c:pt>
                <c:pt idx="65">
                  <c:v>698.49</c:v>
                </c:pt>
                <c:pt idx="66">
                  <c:v>510.75</c:v>
                </c:pt>
                <c:pt idx="67">
                  <c:v>473.42</c:v>
                </c:pt>
                <c:pt idx="68">
                  <c:v>990.01</c:v>
                </c:pt>
                <c:pt idx="69">
                  <c:v>646.54999999999995</c:v>
                </c:pt>
                <c:pt idx="70">
                  <c:v>944.71</c:v>
                </c:pt>
                <c:pt idx="71">
                  <c:v>1110.44</c:v>
                </c:pt>
                <c:pt idx="72">
                  <c:v>1052.3399999999999</c:v>
                </c:pt>
                <c:pt idx="73">
                  <c:v>946.77</c:v>
                </c:pt>
                <c:pt idx="74">
                  <c:v>630.69000000000005</c:v>
                </c:pt>
                <c:pt idx="75">
                  <c:v>837.9</c:v>
                </c:pt>
                <c:pt idx="76">
                  <c:v>624.30999999999995</c:v>
                </c:pt>
                <c:pt idx="77">
                  <c:v>1030.04</c:v>
                </c:pt>
                <c:pt idx="78">
                  <c:v>877.76</c:v>
                </c:pt>
                <c:pt idx="79">
                  <c:v>615.5</c:v>
                </c:pt>
                <c:pt idx="80">
                  <c:v>538.72</c:v>
                </c:pt>
                <c:pt idx="81">
                  <c:v>594.57000000000005</c:v>
                </c:pt>
                <c:pt idx="82">
                  <c:v>433.82</c:v>
                </c:pt>
                <c:pt idx="83">
                  <c:v>316.68</c:v>
                </c:pt>
                <c:pt idx="84">
                  <c:v>926.6</c:v>
                </c:pt>
                <c:pt idx="85">
                  <c:v>299.35000000000002</c:v>
                </c:pt>
                <c:pt idx="86">
                  <c:v>533.51</c:v>
                </c:pt>
                <c:pt idx="87">
                  <c:v>795.98</c:v>
                </c:pt>
                <c:pt idx="88">
                  <c:v>988.43</c:v>
                </c:pt>
                <c:pt idx="89">
                  <c:v>713.24</c:v>
                </c:pt>
                <c:pt idx="90">
                  <c:v>678.98</c:v>
                </c:pt>
                <c:pt idx="91">
                  <c:v>785.36</c:v>
                </c:pt>
                <c:pt idx="92">
                  <c:v>1088.0899999999999</c:v>
                </c:pt>
                <c:pt idx="93">
                  <c:v>674.27</c:v>
                </c:pt>
                <c:pt idx="94">
                  <c:v>610.80999999999995</c:v>
                </c:pt>
                <c:pt idx="95">
                  <c:v>308.22000000000003</c:v>
                </c:pt>
                <c:pt idx="96">
                  <c:v>473.27</c:v>
                </c:pt>
                <c:pt idx="97">
                  <c:v>730.48</c:v>
                </c:pt>
                <c:pt idx="98">
                  <c:v>817.84</c:v>
                </c:pt>
                <c:pt idx="99">
                  <c:v>878.22</c:v>
                </c:pt>
                <c:pt idx="100">
                  <c:v>489.45</c:v>
                </c:pt>
                <c:pt idx="101">
                  <c:v>1061.76</c:v>
                </c:pt>
                <c:pt idx="102">
                  <c:v>220.86</c:v>
                </c:pt>
                <c:pt idx="103">
                  <c:v>945.8</c:v>
                </c:pt>
                <c:pt idx="104">
                  <c:v>1018.95</c:v>
                </c:pt>
                <c:pt idx="105">
                  <c:v>763.74</c:v>
                </c:pt>
                <c:pt idx="106">
                  <c:v>791.42</c:v>
                </c:pt>
                <c:pt idx="107">
                  <c:v>707.07</c:v>
                </c:pt>
                <c:pt idx="108">
                  <c:v>1010.97</c:v>
                </c:pt>
                <c:pt idx="109">
                  <c:v>1117.94</c:v>
                </c:pt>
                <c:pt idx="110">
                  <c:v>923.73</c:v>
                </c:pt>
                <c:pt idx="111">
                  <c:v>908.83</c:v>
                </c:pt>
                <c:pt idx="112">
                  <c:v>623.41</c:v>
                </c:pt>
                <c:pt idx="113">
                  <c:v>988.12</c:v>
                </c:pt>
                <c:pt idx="114">
                  <c:v>971.1</c:v>
                </c:pt>
                <c:pt idx="115">
                  <c:v>439.17</c:v>
                </c:pt>
                <c:pt idx="116">
                  <c:v>1016.89</c:v>
                </c:pt>
                <c:pt idx="117">
                  <c:v>963.12</c:v>
                </c:pt>
                <c:pt idx="118">
                  <c:v>702.01</c:v>
                </c:pt>
                <c:pt idx="119">
                  <c:v>1117.4000000000001</c:v>
                </c:pt>
                <c:pt idx="120">
                  <c:v>488.1</c:v>
                </c:pt>
                <c:pt idx="121">
                  <c:v>775.05</c:v>
                </c:pt>
                <c:pt idx="122">
                  <c:v>726.06</c:v>
                </c:pt>
                <c:pt idx="123">
                  <c:v>267.56</c:v>
                </c:pt>
                <c:pt idx="124">
                  <c:v>884.68</c:v>
                </c:pt>
                <c:pt idx="125">
                  <c:v>510.08</c:v>
                </c:pt>
                <c:pt idx="126">
                  <c:v>531.91999999999996</c:v>
                </c:pt>
                <c:pt idx="127">
                  <c:v>927.08</c:v>
                </c:pt>
                <c:pt idx="128">
                  <c:v>643.91</c:v>
                </c:pt>
                <c:pt idx="129">
                  <c:v>342.78</c:v>
                </c:pt>
                <c:pt idx="130">
                  <c:v>879.06</c:v>
                </c:pt>
                <c:pt idx="131">
                  <c:v>386.05</c:v>
                </c:pt>
                <c:pt idx="132">
                  <c:v>335.73</c:v>
                </c:pt>
                <c:pt idx="133">
                  <c:v>1051.3599999999999</c:v>
                </c:pt>
                <c:pt idx="134">
                  <c:v>1183.01</c:v>
                </c:pt>
                <c:pt idx="135">
                  <c:v>517.03</c:v>
                </c:pt>
                <c:pt idx="136">
                  <c:v>1110.71</c:v>
                </c:pt>
                <c:pt idx="137">
                  <c:v>450.61</c:v>
                </c:pt>
                <c:pt idx="138">
                  <c:v>920.63</c:v>
                </c:pt>
                <c:pt idx="139">
                  <c:v>616.59</c:v>
                </c:pt>
                <c:pt idx="140">
                  <c:v>615.62</c:v>
                </c:pt>
                <c:pt idx="141">
                  <c:v>306.18</c:v>
                </c:pt>
                <c:pt idx="142">
                  <c:v>1065.31</c:v>
                </c:pt>
                <c:pt idx="143">
                  <c:v>593.24</c:v>
                </c:pt>
                <c:pt idx="144">
                  <c:v>208.18</c:v>
                </c:pt>
                <c:pt idx="145">
                  <c:v>273.52999999999997</c:v>
                </c:pt>
                <c:pt idx="146">
                  <c:v>539.09</c:v>
                </c:pt>
                <c:pt idx="147">
                  <c:v>348.94</c:v>
                </c:pt>
                <c:pt idx="148">
                  <c:v>499.79</c:v>
                </c:pt>
                <c:pt idx="149">
                  <c:v>982.9</c:v>
                </c:pt>
                <c:pt idx="150">
                  <c:v>880.73</c:v>
                </c:pt>
                <c:pt idx="151">
                  <c:v>811.48</c:v>
                </c:pt>
                <c:pt idx="152">
                  <c:v>733.13</c:v>
                </c:pt>
                <c:pt idx="153">
                  <c:v>904.9</c:v>
                </c:pt>
                <c:pt idx="154">
                  <c:v>1154.6099999999999</c:v>
                </c:pt>
                <c:pt idx="155">
                  <c:v>896.17</c:v>
                </c:pt>
                <c:pt idx="156">
                  <c:v>672.4</c:v>
                </c:pt>
                <c:pt idx="157">
                  <c:v>259.16000000000003</c:v>
                </c:pt>
                <c:pt idx="158">
                  <c:v>596.99</c:v>
                </c:pt>
                <c:pt idx="159">
                  <c:v>743.3</c:v>
                </c:pt>
                <c:pt idx="160">
                  <c:v>214.08</c:v>
                </c:pt>
                <c:pt idx="161">
                  <c:v>340.61</c:v>
                </c:pt>
                <c:pt idx="162">
                  <c:v>559.54999999999995</c:v>
                </c:pt>
                <c:pt idx="163">
                  <c:v>838.71</c:v>
                </c:pt>
                <c:pt idx="164">
                  <c:v>1001.99</c:v>
                </c:pt>
                <c:pt idx="165">
                  <c:v>349.85</c:v>
                </c:pt>
                <c:pt idx="166">
                  <c:v>713.25</c:v>
                </c:pt>
                <c:pt idx="167">
                  <c:v>245.29</c:v>
                </c:pt>
                <c:pt idx="168">
                  <c:v>1091.33</c:v>
                </c:pt>
                <c:pt idx="169">
                  <c:v>593.05999999999995</c:v>
                </c:pt>
                <c:pt idx="170">
                  <c:v>447.51</c:v>
                </c:pt>
                <c:pt idx="171">
                  <c:v>872.02</c:v>
                </c:pt>
                <c:pt idx="172">
                  <c:v>931.52</c:v>
                </c:pt>
                <c:pt idx="173">
                  <c:v>627.20000000000005</c:v>
                </c:pt>
                <c:pt idx="174">
                  <c:v>673.52</c:v>
                </c:pt>
                <c:pt idx="175">
                  <c:v>455</c:v>
                </c:pt>
                <c:pt idx="176">
                  <c:v>802.92</c:v>
                </c:pt>
                <c:pt idx="177">
                  <c:v>215.33</c:v>
                </c:pt>
                <c:pt idx="178">
                  <c:v>580.66</c:v>
                </c:pt>
                <c:pt idx="179">
                  <c:v>570.70000000000005</c:v>
                </c:pt>
                <c:pt idx="180">
                  <c:v>579.84</c:v>
                </c:pt>
                <c:pt idx="181">
                  <c:v>920.31</c:v>
                </c:pt>
                <c:pt idx="182">
                  <c:v>1042.54</c:v>
                </c:pt>
                <c:pt idx="183">
                  <c:v>215.73</c:v>
                </c:pt>
                <c:pt idx="184">
                  <c:v>1109.77</c:v>
                </c:pt>
                <c:pt idx="185">
                  <c:v>1159.3</c:v>
                </c:pt>
                <c:pt idx="186">
                  <c:v>676.01</c:v>
                </c:pt>
                <c:pt idx="187">
                  <c:v>1101.27</c:v>
                </c:pt>
                <c:pt idx="188">
                  <c:v>407.16</c:v>
                </c:pt>
                <c:pt idx="189">
                  <c:v>939.75</c:v>
                </c:pt>
                <c:pt idx="190">
                  <c:v>526.38</c:v>
                </c:pt>
                <c:pt idx="191">
                  <c:v>818.62</c:v>
                </c:pt>
                <c:pt idx="192">
                  <c:v>1142.96</c:v>
                </c:pt>
                <c:pt idx="193">
                  <c:v>553.91</c:v>
                </c:pt>
                <c:pt idx="194">
                  <c:v>369.58</c:v>
                </c:pt>
                <c:pt idx="195">
                  <c:v>561.12</c:v>
                </c:pt>
                <c:pt idx="196">
                  <c:v>579.89</c:v>
                </c:pt>
                <c:pt idx="197">
                  <c:v>491.45</c:v>
                </c:pt>
                <c:pt idx="198">
                  <c:v>750.1</c:v>
                </c:pt>
                <c:pt idx="199">
                  <c:v>858.66</c:v>
                </c:pt>
                <c:pt idx="200">
                  <c:v>990.72</c:v>
                </c:pt>
                <c:pt idx="201">
                  <c:v>845.03</c:v>
                </c:pt>
                <c:pt idx="202">
                  <c:v>591.13</c:v>
                </c:pt>
                <c:pt idx="203">
                  <c:v>543.07000000000005</c:v>
                </c:pt>
                <c:pt idx="204">
                  <c:v>543.08000000000004</c:v>
                </c:pt>
                <c:pt idx="205">
                  <c:v>829.76</c:v>
                </c:pt>
                <c:pt idx="206">
                  <c:v>952.33</c:v>
                </c:pt>
                <c:pt idx="207">
                  <c:v>811.31</c:v>
                </c:pt>
                <c:pt idx="208">
                  <c:v>438.57</c:v>
                </c:pt>
                <c:pt idx="209">
                  <c:v>893.43</c:v>
                </c:pt>
                <c:pt idx="210">
                  <c:v>395.13</c:v>
                </c:pt>
                <c:pt idx="211">
                  <c:v>995.88</c:v>
                </c:pt>
                <c:pt idx="212">
                  <c:v>467.89</c:v>
                </c:pt>
                <c:pt idx="213">
                  <c:v>853.67</c:v>
                </c:pt>
                <c:pt idx="214">
                  <c:v>810.26</c:v>
                </c:pt>
                <c:pt idx="215">
                  <c:v>904.05</c:v>
                </c:pt>
                <c:pt idx="216">
                  <c:v>522.1</c:v>
                </c:pt>
                <c:pt idx="217">
                  <c:v>949.8</c:v>
                </c:pt>
                <c:pt idx="218">
                  <c:v>995.68</c:v>
                </c:pt>
                <c:pt idx="219">
                  <c:v>1094.1500000000001</c:v>
                </c:pt>
                <c:pt idx="220">
                  <c:v>501.87</c:v>
                </c:pt>
                <c:pt idx="221">
                  <c:v>291.2</c:v>
                </c:pt>
                <c:pt idx="222">
                  <c:v>1188.1500000000001</c:v>
                </c:pt>
                <c:pt idx="223">
                  <c:v>973.46</c:v>
                </c:pt>
                <c:pt idx="224">
                  <c:v>351.37</c:v>
                </c:pt>
                <c:pt idx="225">
                  <c:v>339.83</c:v>
                </c:pt>
                <c:pt idx="226">
                  <c:v>806.93</c:v>
                </c:pt>
                <c:pt idx="227">
                  <c:v>1177.7</c:v>
                </c:pt>
                <c:pt idx="228">
                  <c:v>267.52999999999997</c:v>
                </c:pt>
                <c:pt idx="229">
                  <c:v>736.56</c:v>
                </c:pt>
                <c:pt idx="230">
                  <c:v>637.49</c:v>
                </c:pt>
                <c:pt idx="231">
                  <c:v>907.9</c:v>
                </c:pt>
                <c:pt idx="232">
                  <c:v>318.06</c:v>
                </c:pt>
                <c:pt idx="233">
                  <c:v>1059.3599999999999</c:v>
                </c:pt>
                <c:pt idx="234">
                  <c:v>671.76</c:v>
                </c:pt>
                <c:pt idx="235">
                  <c:v>277.89</c:v>
                </c:pt>
                <c:pt idx="236">
                  <c:v>973.53</c:v>
                </c:pt>
                <c:pt idx="237">
                  <c:v>791.69</c:v>
                </c:pt>
                <c:pt idx="238">
                  <c:v>201.46</c:v>
                </c:pt>
                <c:pt idx="239">
                  <c:v>293.02999999999997</c:v>
                </c:pt>
                <c:pt idx="240">
                  <c:v>767.82</c:v>
                </c:pt>
                <c:pt idx="241">
                  <c:v>274.69</c:v>
                </c:pt>
                <c:pt idx="242">
                  <c:v>407.64</c:v>
                </c:pt>
                <c:pt idx="243">
                  <c:v>911.16</c:v>
                </c:pt>
                <c:pt idx="244">
                  <c:v>1003.9</c:v>
                </c:pt>
                <c:pt idx="245">
                  <c:v>274.99</c:v>
                </c:pt>
                <c:pt idx="246">
                  <c:v>595</c:v>
                </c:pt>
                <c:pt idx="247">
                  <c:v>698.89</c:v>
                </c:pt>
                <c:pt idx="248">
                  <c:v>981.92</c:v>
                </c:pt>
                <c:pt idx="249">
                  <c:v>1010.69</c:v>
                </c:pt>
                <c:pt idx="250">
                  <c:v>1147.8</c:v>
                </c:pt>
                <c:pt idx="251">
                  <c:v>228.21</c:v>
                </c:pt>
                <c:pt idx="252">
                  <c:v>801.66</c:v>
                </c:pt>
                <c:pt idx="253">
                  <c:v>347.71</c:v>
                </c:pt>
                <c:pt idx="254">
                  <c:v>357.5</c:v>
                </c:pt>
                <c:pt idx="255">
                  <c:v>933.99</c:v>
                </c:pt>
                <c:pt idx="256">
                  <c:v>304.11</c:v>
                </c:pt>
                <c:pt idx="257">
                  <c:v>465.21</c:v>
                </c:pt>
                <c:pt idx="258">
                  <c:v>693.08</c:v>
                </c:pt>
                <c:pt idx="259">
                  <c:v>1045.76</c:v>
                </c:pt>
                <c:pt idx="260">
                  <c:v>1185.28</c:v>
                </c:pt>
                <c:pt idx="261">
                  <c:v>922.04</c:v>
                </c:pt>
                <c:pt idx="262">
                  <c:v>627.61</c:v>
                </c:pt>
                <c:pt idx="263">
                  <c:v>597.47</c:v>
                </c:pt>
                <c:pt idx="264">
                  <c:v>639.74</c:v>
                </c:pt>
                <c:pt idx="265">
                  <c:v>789.73</c:v>
                </c:pt>
                <c:pt idx="266">
                  <c:v>1053.94</c:v>
                </c:pt>
                <c:pt idx="267">
                  <c:v>326.19</c:v>
                </c:pt>
                <c:pt idx="268">
                  <c:v>756.36</c:v>
                </c:pt>
                <c:pt idx="269">
                  <c:v>348.2</c:v>
                </c:pt>
                <c:pt idx="270">
                  <c:v>854.79</c:v>
                </c:pt>
                <c:pt idx="271">
                  <c:v>531.49</c:v>
                </c:pt>
                <c:pt idx="272">
                  <c:v>427.96</c:v>
                </c:pt>
                <c:pt idx="273">
                  <c:v>959.49</c:v>
                </c:pt>
                <c:pt idx="274">
                  <c:v>1075.18</c:v>
                </c:pt>
                <c:pt idx="275">
                  <c:v>323.87</c:v>
                </c:pt>
                <c:pt idx="276">
                  <c:v>888.85</c:v>
                </c:pt>
                <c:pt idx="277">
                  <c:v>713.28</c:v>
                </c:pt>
                <c:pt idx="278">
                  <c:v>576.48</c:v>
                </c:pt>
                <c:pt idx="279">
                  <c:v>793.77</c:v>
                </c:pt>
                <c:pt idx="280">
                  <c:v>717.29</c:v>
                </c:pt>
                <c:pt idx="281">
                  <c:v>618.57000000000005</c:v>
                </c:pt>
                <c:pt idx="282">
                  <c:v>871.87</c:v>
                </c:pt>
                <c:pt idx="283">
                  <c:v>1099.5899999999999</c:v>
                </c:pt>
                <c:pt idx="284">
                  <c:v>834.4</c:v>
                </c:pt>
                <c:pt idx="285">
                  <c:v>400.3</c:v>
                </c:pt>
                <c:pt idx="286">
                  <c:v>258.01</c:v>
                </c:pt>
                <c:pt idx="287">
                  <c:v>677.4</c:v>
                </c:pt>
                <c:pt idx="288">
                  <c:v>1076.99</c:v>
                </c:pt>
                <c:pt idx="289">
                  <c:v>886.78</c:v>
                </c:pt>
                <c:pt idx="290">
                  <c:v>221.91</c:v>
                </c:pt>
                <c:pt idx="291">
                  <c:v>219.74</c:v>
                </c:pt>
                <c:pt idx="292">
                  <c:v>861.66</c:v>
                </c:pt>
                <c:pt idx="293">
                  <c:v>809</c:v>
                </c:pt>
                <c:pt idx="294">
                  <c:v>202.74</c:v>
                </c:pt>
                <c:pt idx="295">
                  <c:v>656.75</c:v>
                </c:pt>
                <c:pt idx="296">
                  <c:v>958.2</c:v>
                </c:pt>
                <c:pt idx="297">
                  <c:v>600.78</c:v>
                </c:pt>
                <c:pt idx="298">
                  <c:v>1111.23</c:v>
                </c:pt>
                <c:pt idx="299">
                  <c:v>688.12</c:v>
                </c:pt>
                <c:pt idx="300">
                  <c:v>869.84</c:v>
                </c:pt>
                <c:pt idx="301">
                  <c:v>1026.44</c:v>
                </c:pt>
                <c:pt idx="302">
                  <c:v>250.35</c:v>
                </c:pt>
                <c:pt idx="303">
                  <c:v>318.70999999999998</c:v>
                </c:pt>
                <c:pt idx="304">
                  <c:v>762.33</c:v>
                </c:pt>
                <c:pt idx="305">
                  <c:v>314.02</c:v>
                </c:pt>
                <c:pt idx="306">
                  <c:v>942.51</c:v>
                </c:pt>
                <c:pt idx="307">
                  <c:v>614.47</c:v>
                </c:pt>
                <c:pt idx="308">
                  <c:v>682.93</c:v>
                </c:pt>
                <c:pt idx="309">
                  <c:v>584.66</c:v>
                </c:pt>
                <c:pt idx="310">
                  <c:v>747.81</c:v>
                </c:pt>
                <c:pt idx="311">
                  <c:v>850.09</c:v>
                </c:pt>
                <c:pt idx="312">
                  <c:v>1093.8699999999999</c:v>
                </c:pt>
                <c:pt idx="313">
                  <c:v>360.94</c:v>
                </c:pt>
                <c:pt idx="314">
                  <c:v>761.27</c:v>
                </c:pt>
                <c:pt idx="315">
                  <c:v>253.8</c:v>
                </c:pt>
                <c:pt idx="316">
                  <c:v>1164.29</c:v>
                </c:pt>
                <c:pt idx="317">
                  <c:v>783.99</c:v>
                </c:pt>
                <c:pt idx="318">
                  <c:v>772.68</c:v>
                </c:pt>
                <c:pt idx="319">
                  <c:v>421.2</c:v>
                </c:pt>
                <c:pt idx="320">
                  <c:v>546.01</c:v>
                </c:pt>
                <c:pt idx="321">
                  <c:v>923.98</c:v>
                </c:pt>
                <c:pt idx="322">
                  <c:v>1148.21</c:v>
                </c:pt>
                <c:pt idx="323">
                  <c:v>405.58</c:v>
                </c:pt>
                <c:pt idx="324">
                  <c:v>774.96</c:v>
                </c:pt>
                <c:pt idx="325">
                  <c:v>818.35</c:v>
                </c:pt>
                <c:pt idx="326">
                  <c:v>1022.12</c:v>
                </c:pt>
                <c:pt idx="327">
                  <c:v>211.15</c:v>
                </c:pt>
                <c:pt idx="328">
                  <c:v>1105.6300000000001</c:v>
                </c:pt>
                <c:pt idx="329">
                  <c:v>1132.3699999999999</c:v>
                </c:pt>
                <c:pt idx="330">
                  <c:v>871.3</c:v>
                </c:pt>
                <c:pt idx="331">
                  <c:v>564.49</c:v>
                </c:pt>
                <c:pt idx="332">
                  <c:v>932.97</c:v>
                </c:pt>
                <c:pt idx="333">
                  <c:v>396.43</c:v>
                </c:pt>
                <c:pt idx="334">
                  <c:v>743.47</c:v>
                </c:pt>
                <c:pt idx="335">
                  <c:v>702.17</c:v>
                </c:pt>
                <c:pt idx="336">
                  <c:v>683.5</c:v>
                </c:pt>
                <c:pt idx="337">
                  <c:v>1117.9000000000001</c:v>
                </c:pt>
                <c:pt idx="338">
                  <c:v>578.52</c:v>
                </c:pt>
                <c:pt idx="339">
                  <c:v>1087.17</c:v>
                </c:pt>
                <c:pt idx="340">
                  <c:v>917.3</c:v>
                </c:pt>
                <c:pt idx="341">
                  <c:v>243.14</c:v>
                </c:pt>
                <c:pt idx="342">
                  <c:v>763.6</c:v>
                </c:pt>
                <c:pt idx="343">
                  <c:v>1020.45</c:v>
                </c:pt>
                <c:pt idx="344">
                  <c:v>308.57</c:v>
                </c:pt>
                <c:pt idx="345">
                  <c:v>731.43</c:v>
                </c:pt>
                <c:pt idx="346">
                  <c:v>628.96</c:v>
                </c:pt>
                <c:pt idx="347">
                  <c:v>1110.0899999999999</c:v>
                </c:pt>
                <c:pt idx="348">
                  <c:v>575.03</c:v>
                </c:pt>
                <c:pt idx="349">
                  <c:v>811.88</c:v>
                </c:pt>
                <c:pt idx="350">
                  <c:v>974.19</c:v>
                </c:pt>
                <c:pt idx="351">
                  <c:v>1164.57</c:v>
                </c:pt>
                <c:pt idx="352">
                  <c:v>1130.68</c:v>
                </c:pt>
                <c:pt idx="353">
                  <c:v>983.96</c:v>
                </c:pt>
                <c:pt idx="354">
                  <c:v>979.67</c:v>
                </c:pt>
                <c:pt idx="355">
                  <c:v>759.11</c:v>
                </c:pt>
                <c:pt idx="356">
                  <c:v>758.63</c:v>
                </c:pt>
                <c:pt idx="357">
                  <c:v>957.47</c:v>
                </c:pt>
                <c:pt idx="358">
                  <c:v>429.93</c:v>
                </c:pt>
                <c:pt idx="359">
                  <c:v>1131.4000000000001</c:v>
                </c:pt>
                <c:pt idx="360">
                  <c:v>406.78</c:v>
                </c:pt>
                <c:pt idx="361">
                  <c:v>964.24</c:v>
                </c:pt>
                <c:pt idx="362">
                  <c:v>950.17</c:v>
                </c:pt>
                <c:pt idx="363">
                  <c:v>320.37</c:v>
                </c:pt>
                <c:pt idx="364">
                  <c:v>462.85</c:v>
                </c:pt>
                <c:pt idx="365">
                  <c:v>379.89</c:v>
                </c:pt>
                <c:pt idx="366">
                  <c:v>938.54</c:v>
                </c:pt>
                <c:pt idx="367">
                  <c:v>1058.5</c:v>
                </c:pt>
                <c:pt idx="368">
                  <c:v>760.35</c:v>
                </c:pt>
                <c:pt idx="369">
                  <c:v>484.61</c:v>
                </c:pt>
                <c:pt idx="370">
                  <c:v>1128.57</c:v>
                </c:pt>
                <c:pt idx="371">
                  <c:v>805.38</c:v>
                </c:pt>
                <c:pt idx="372">
                  <c:v>862.02</c:v>
                </c:pt>
                <c:pt idx="373">
                  <c:v>818.1</c:v>
                </c:pt>
                <c:pt idx="374">
                  <c:v>863.55</c:v>
                </c:pt>
                <c:pt idx="375">
                  <c:v>835.85</c:v>
                </c:pt>
                <c:pt idx="376">
                  <c:v>210.56</c:v>
                </c:pt>
                <c:pt idx="377">
                  <c:v>965.87</c:v>
                </c:pt>
                <c:pt idx="378">
                  <c:v>420.59</c:v>
                </c:pt>
                <c:pt idx="379">
                  <c:v>1053.48</c:v>
                </c:pt>
                <c:pt idx="380">
                  <c:v>734.97</c:v>
                </c:pt>
                <c:pt idx="381">
                  <c:v>620.24</c:v>
                </c:pt>
                <c:pt idx="382">
                  <c:v>1095.7</c:v>
                </c:pt>
                <c:pt idx="383">
                  <c:v>971</c:v>
                </c:pt>
                <c:pt idx="384">
                  <c:v>838.52</c:v>
                </c:pt>
                <c:pt idx="385">
                  <c:v>443.09</c:v>
                </c:pt>
                <c:pt idx="386">
                  <c:v>1196.97</c:v>
                </c:pt>
                <c:pt idx="387">
                  <c:v>638.72</c:v>
                </c:pt>
                <c:pt idx="388">
                  <c:v>386.63</c:v>
                </c:pt>
                <c:pt idx="389">
                  <c:v>654.08000000000004</c:v>
                </c:pt>
                <c:pt idx="390">
                  <c:v>883.22</c:v>
                </c:pt>
                <c:pt idx="391">
                  <c:v>231.27</c:v>
                </c:pt>
                <c:pt idx="392">
                  <c:v>420.72</c:v>
                </c:pt>
                <c:pt idx="393">
                  <c:v>994.25</c:v>
                </c:pt>
                <c:pt idx="394">
                  <c:v>431.02</c:v>
                </c:pt>
                <c:pt idx="395">
                  <c:v>902.55</c:v>
                </c:pt>
                <c:pt idx="396">
                  <c:v>1102.48</c:v>
                </c:pt>
                <c:pt idx="397">
                  <c:v>750.24</c:v>
                </c:pt>
                <c:pt idx="398">
                  <c:v>1184.3900000000001</c:v>
                </c:pt>
                <c:pt idx="399">
                  <c:v>464.99</c:v>
                </c:pt>
                <c:pt idx="400">
                  <c:v>1025.71</c:v>
                </c:pt>
                <c:pt idx="401">
                  <c:v>1017.14</c:v>
                </c:pt>
                <c:pt idx="402">
                  <c:v>519.32000000000005</c:v>
                </c:pt>
                <c:pt idx="403">
                  <c:v>489.78</c:v>
                </c:pt>
                <c:pt idx="404">
                  <c:v>330.38</c:v>
                </c:pt>
                <c:pt idx="405">
                  <c:v>466.26</c:v>
                </c:pt>
                <c:pt idx="406">
                  <c:v>369.26</c:v>
                </c:pt>
                <c:pt idx="407">
                  <c:v>254.54</c:v>
                </c:pt>
                <c:pt idx="408">
                  <c:v>411.88</c:v>
                </c:pt>
                <c:pt idx="409">
                  <c:v>260.11</c:v>
                </c:pt>
                <c:pt idx="410">
                  <c:v>219.08</c:v>
                </c:pt>
                <c:pt idx="411">
                  <c:v>912.47</c:v>
                </c:pt>
                <c:pt idx="412">
                  <c:v>436.2</c:v>
                </c:pt>
                <c:pt idx="413">
                  <c:v>582.21</c:v>
                </c:pt>
                <c:pt idx="414">
                  <c:v>338.58</c:v>
                </c:pt>
                <c:pt idx="415">
                  <c:v>764.84</c:v>
                </c:pt>
                <c:pt idx="416">
                  <c:v>503.35</c:v>
                </c:pt>
                <c:pt idx="417">
                  <c:v>430.91</c:v>
                </c:pt>
                <c:pt idx="418">
                  <c:v>337.51</c:v>
                </c:pt>
                <c:pt idx="419">
                  <c:v>1154.7</c:v>
                </c:pt>
                <c:pt idx="420">
                  <c:v>594.15</c:v>
                </c:pt>
                <c:pt idx="421">
                  <c:v>239.25</c:v>
                </c:pt>
                <c:pt idx="422">
                  <c:v>1103.68</c:v>
                </c:pt>
                <c:pt idx="423">
                  <c:v>523.46</c:v>
                </c:pt>
                <c:pt idx="424">
                  <c:v>323.54000000000002</c:v>
                </c:pt>
                <c:pt idx="425">
                  <c:v>370.88</c:v>
                </c:pt>
                <c:pt idx="426">
                  <c:v>380.7</c:v>
                </c:pt>
                <c:pt idx="427">
                  <c:v>693.47</c:v>
                </c:pt>
                <c:pt idx="428">
                  <c:v>757.55</c:v>
                </c:pt>
                <c:pt idx="429">
                  <c:v>287.7</c:v>
                </c:pt>
                <c:pt idx="430">
                  <c:v>949.33</c:v>
                </c:pt>
                <c:pt idx="431">
                  <c:v>894.62</c:v>
                </c:pt>
                <c:pt idx="432">
                  <c:v>888.65</c:v>
                </c:pt>
                <c:pt idx="433">
                  <c:v>831.86</c:v>
                </c:pt>
                <c:pt idx="434">
                  <c:v>407.33</c:v>
                </c:pt>
                <c:pt idx="435">
                  <c:v>267.83999999999997</c:v>
                </c:pt>
                <c:pt idx="436">
                  <c:v>394.02</c:v>
                </c:pt>
                <c:pt idx="437">
                  <c:v>1014.17</c:v>
                </c:pt>
                <c:pt idx="438">
                  <c:v>1088.03</c:v>
                </c:pt>
                <c:pt idx="439">
                  <c:v>316.83999999999997</c:v>
                </c:pt>
                <c:pt idx="440">
                  <c:v>502.32</c:v>
                </c:pt>
                <c:pt idx="441">
                  <c:v>932.44</c:v>
                </c:pt>
                <c:pt idx="442">
                  <c:v>722.34</c:v>
                </c:pt>
                <c:pt idx="443">
                  <c:v>958.49</c:v>
                </c:pt>
                <c:pt idx="444">
                  <c:v>1158.3</c:v>
                </c:pt>
                <c:pt idx="445">
                  <c:v>511.38</c:v>
                </c:pt>
                <c:pt idx="446">
                  <c:v>796.12</c:v>
                </c:pt>
                <c:pt idx="447">
                  <c:v>955.74</c:v>
                </c:pt>
                <c:pt idx="448">
                  <c:v>343.72</c:v>
                </c:pt>
                <c:pt idx="449">
                  <c:v>678.65</c:v>
                </c:pt>
                <c:pt idx="450">
                  <c:v>270.92</c:v>
                </c:pt>
                <c:pt idx="451">
                  <c:v>1013.92</c:v>
                </c:pt>
                <c:pt idx="452">
                  <c:v>796.08</c:v>
                </c:pt>
                <c:pt idx="453">
                  <c:v>844.99</c:v>
                </c:pt>
                <c:pt idx="454">
                  <c:v>777.93</c:v>
                </c:pt>
                <c:pt idx="455">
                  <c:v>811.49</c:v>
                </c:pt>
                <c:pt idx="456">
                  <c:v>482.21</c:v>
                </c:pt>
                <c:pt idx="457">
                  <c:v>388.23</c:v>
                </c:pt>
                <c:pt idx="458">
                  <c:v>686.7</c:v>
                </c:pt>
                <c:pt idx="459">
                  <c:v>654.39</c:v>
                </c:pt>
                <c:pt idx="460">
                  <c:v>469.25</c:v>
                </c:pt>
                <c:pt idx="461">
                  <c:v>931.29</c:v>
                </c:pt>
                <c:pt idx="462">
                  <c:v>739.2</c:v>
                </c:pt>
                <c:pt idx="463">
                  <c:v>1160.58</c:v>
                </c:pt>
                <c:pt idx="464">
                  <c:v>856.32</c:v>
                </c:pt>
                <c:pt idx="465">
                  <c:v>480.97</c:v>
                </c:pt>
                <c:pt idx="466">
                  <c:v>436.2</c:v>
                </c:pt>
                <c:pt idx="467">
                  <c:v>640.19000000000005</c:v>
                </c:pt>
                <c:pt idx="468">
                  <c:v>1148.25</c:v>
                </c:pt>
                <c:pt idx="469">
                  <c:v>1161.76</c:v>
                </c:pt>
                <c:pt idx="470">
                  <c:v>784.18</c:v>
                </c:pt>
                <c:pt idx="471">
                  <c:v>210.58</c:v>
                </c:pt>
                <c:pt idx="472">
                  <c:v>223.7</c:v>
                </c:pt>
                <c:pt idx="473">
                  <c:v>1099.9000000000001</c:v>
                </c:pt>
                <c:pt idx="474">
                  <c:v>476.38</c:v>
                </c:pt>
                <c:pt idx="475">
                  <c:v>464.66</c:v>
                </c:pt>
                <c:pt idx="476">
                  <c:v>306.25</c:v>
                </c:pt>
                <c:pt idx="477">
                  <c:v>840.34</c:v>
                </c:pt>
                <c:pt idx="478">
                  <c:v>603.91</c:v>
                </c:pt>
                <c:pt idx="479">
                  <c:v>832.27</c:v>
                </c:pt>
                <c:pt idx="480">
                  <c:v>498.87</c:v>
                </c:pt>
                <c:pt idx="481">
                  <c:v>262.99</c:v>
                </c:pt>
                <c:pt idx="482">
                  <c:v>411.68</c:v>
                </c:pt>
                <c:pt idx="483">
                  <c:v>1118.02</c:v>
                </c:pt>
                <c:pt idx="484">
                  <c:v>306.33</c:v>
                </c:pt>
                <c:pt idx="485">
                  <c:v>1164.69</c:v>
                </c:pt>
                <c:pt idx="486">
                  <c:v>1125.68</c:v>
                </c:pt>
                <c:pt idx="487">
                  <c:v>1007.41</c:v>
                </c:pt>
                <c:pt idx="488">
                  <c:v>917.2</c:v>
                </c:pt>
                <c:pt idx="489">
                  <c:v>1062.73</c:v>
                </c:pt>
                <c:pt idx="490">
                  <c:v>359.76</c:v>
                </c:pt>
                <c:pt idx="491">
                  <c:v>252.46</c:v>
                </c:pt>
                <c:pt idx="492">
                  <c:v>876.85</c:v>
                </c:pt>
                <c:pt idx="493">
                  <c:v>785.09</c:v>
                </c:pt>
                <c:pt idx="494">
                  <c:v>402.21</c:v>
                </c:pt>
                <c:pt idx="495">
                  <c:v>803.64</c:v>
                </c:pt>
                <c:pt idx="496">
                  <c:v>479.17</c:v>
                </c:pt>
                <c:pt idx="497">
                  <c:v>244.22</c:v>
                </c:pt>
                <c:pt idx="498">
                  <c:v>953.08</c:v>
                </c:pt>
                <c:pt idx="499">
                  <c:v>947.29</c:v>
                </c:pt>
              </c:numCache>
            </c:numRef>
          </c:yVal>
          <c:smooth val="0"/>
          <c:extLst>
            <c:ext xmlns:c16="http://schemas.microsoft.com/office/drawing/2014/chart" uri="{C3380CC4-5D6E-409C-BE32-E72D297353CC}">
              <c16:uniqueId val="{00000000-0870-4FEC-B258-8764033F59DC}"/>
            </c:ext>
          </c:extLst>
        </c:ser>
        <c:dLbls>
          <c:showLegendKey val="0"/>
          <c:showVal val="0"/>
          <c:showCatName val="0"/>
          <c:showSerName val="0"/>
          <c:showPercent val="0"/>
          <c:showBubbleSize val="0"/>
        </c:dLbls>
        <c:axId val="150893904"/>
        <c:axId val="1658013167"/>
      </c:scatterChart>
      <c:valAx>
        <c:axId val="15089390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Yield(Kg/Ha)</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8013167"/>
        <c:crosses val="autoZero"/>
        <c:crossBetween val="midCat"/>
      </c:valAx>
      <c:valAx>
        <c:axId val="1658013167"/>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Rainfall(mm)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8939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[laxman-444.xlsx]Pivot Table 4!PivotTable5</c:name>
    <c:fmtId val="2"/>
  </c:pivotSource>
  <c:chart>
    <c:title>
      <c:layout>
        <c:manualLayout>
          <c:xMode val="edge"/>
          <c:yMode val="edge"/>
          <c:x val="0.46291816634742883"/>
          <c:y val="7.395549683880513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E1A02"/>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6"/>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s>
    <c:plotArea>
      <c:layout/>
      <c:pieChart>
        <c:varyColors val="1"/>
        <c:ser>
          <c:idx val="0"/>
          <c:order val="0"/>
          <c:tx>
            <c:strRef>
              <c:f>'Pivot Table 4'!$B$3</c:f>
              <c:strCache>
                <c:ptCount val="1"/>
                <c:pt idx="0">
                  <c:v>Total</c:v>
                </c:pt>
              </c:strCache>
            </c:strRef>
          </c:tx>
          <c:spPr>
            <a:solidFill>
              <a:srgbClr val="92D050"/>
            </a:solidFill>
          </c:spPr>
          <c:dPt>
            <c:idx val="0"/>
            <c:bubble3D val="0"/>
            <c:spPr>
              <a:solidFill>
                <a:srgbClr val="FE1A02"/>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1-AD48-4862-8B25-D21B405DB3CD}"/>
              </c:ext>
            </c:extLst>
          </c:dPt>
          <c:dPt>
            <c:idx val="1"/>
            <c:bubble3D val="0"/>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3-AD48-4862-8B25-D21B405DB3CD}"/>
              </c:ext>
            </c:extLst>
          </c:dPt>
          <c:cat>
            <c:strRef>
              <c:f>'Pivot Table 4'!$A$4:$A$6</c:f>
              <c:strCache>
                <c:ptCount val="2"/>
                <c:pt idx="0">
                  <c:v>Cash</c:v>
                </c:pt>
                <c:pt idx="1">
                  <c:v>Food</c:v>
                </c:pt>
              </c:strCache>
            </c:strRef>
          </c:cat>
          <c:val>
            <c:numRef>
              <c:f>'Pivot Table 4'!$B$4:$B$6</c:f>
              <c:numCache>
                <c:formatCode>General</c:formatCode>
                <c:ptCount val="2"/>
                <c:pt idx="0">
                  <c:v>4350.7799999999988</c:v>
                </c:pt>
                <c:pt idx="1">
                  <c:v>9328.2400000000016</c:v>
                </c:pt>
              </c:numCache>
            </c:numRef>
          </c:val>
          <c:extLst>
            <c:ext xmlns:c16="http://schemas.microsoft.com/office/drawing/2014/chart" uri="{C3380CC4-5D6E-409C-BE32-E72D297353CC}">
              <c16:uniqueId val="{00000004-AD48-4862-8B25-D21B405DB3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sx="102000" sy="102000" algn="tl" rotWithShape="0">
        <a:schemeClr val="tx1">
          <a:lumMod val="50000"/>
          <a:lumOff val="50000"/>
          <a:alpha val="8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[laxman-444.xlsx]Pivot Table 5!PivotTable6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5'!$C$7</c:f>
              <c:strCache>
                <c:ptCount val="1"/>
                <c:pt idx="0">
                  <c:v>Total</c:v>
                </c:pt>
              </c:strCache>
            </c:strRef>
          </c:tx>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5'!$B$8:$B$14</c:f>
              <c:strCache>
                <c:ptCount val="6"/>
                <c:pt idx="0">
                  <c:v>Cotton</c:v>
                </c:pt>
                <c:pt idx="1">
                  <c:v>Maize</c:v>
                </c:pt>
                <c:pt idx="2">
                  <c:v>Pulses</c:v>
                </c:pt>
                <c:pt idx="3">
                  <c:v>Rice</c:v>
                </c:pt>
                <c:pt idx="4">
                  <c:v>Sugarcane</c:v>
                </c:pt>
                <c:pt idx="5">
                  <c:v>Wheat</c:v>
                </c:pt>
              </c:strCache>
            </c:strRef>
          </c:cat>
          <c:val>
            <c:numRef>
              <c:f>'Pivot Table 5'!$C$8:$C$14</c:f>
              <c:numCache>
                <c:formatCode>General</c:formatCode>
                <c:ptCount val="6"/>
                <c:pt idx="0">
                  <c:v>1430.4499436811611</c:v>
                </c:pt>
                <c:pt idx="1">
                  <c:v>1594.5295409733603</c:v>
                </c:pt>
                <c:pt idx="2">
                  <c:v>1374.7057593600559</c:v>
                </c:pt>
                <c:pt idx="3">
                  <c:v>1457.5491888375075</c:v>
                </c:pt>
                <c:pt idx="4">
                  <c:v>1560.853031040627</c:v>
                </c:pt>
                <c:pt idx="5">
                  <c:v>1539.8153474376136</c:v>
                </c:pt>
              </c:numCache>
            </c:numRef>
          </c:val>
          <c:extLst>
            <c:ext xmlns:c16="http://schemas.microsoft.com/office/drawing/2014/chart" uri="{C3380CC4-5D6E-409C-BE32-E72D297353CC}">
              <c16:uniqueId val="{00000000-4F86-4F93-87B9-739E53E18AD6}"/>
            </c:ext>
          </c:extLst>
        </c:ser>
        <c:dLbls>
          <c:dLblPos val="inEnd"/>
          <c:showLegendKey val="0"/>
          <c:showVal val="1"/>
          <c:showCatName val="0"/>
          <c:showSerName val="0"/>
          <c:showPercent val="0"/>
          <c:showBubbleSize val="0"/>
        </c:dLbls>
        <c:gapWidth val="115"/>
        <c:overlap val="-20"/>
        <c:axId val="159215872"/>
        <c:axId val="1658047247"/>
      </c:barChart>
      <c:catAx>
        <c:axId val="1592158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047247"/>
        <c:crosses val="autoZero"/>
        <c:auto val="1"/>
        <c:lblAlgn val="ctr"/>
        <c:lblOffset val="100"/>
        <c:noMultiLvlLbl val="0"/>
      </c:catAx>
      <c:valAx>
        <c:axId val="16580472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21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[laxman-444.xlsx]Pivot Table 6!PivotTable7</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w="9525" cap="flat" cmpd="sng" algn="ctr">
            <a:solidFill>
              <a:schemeClr val="accent3">
                <a:lumMod val="40000"/>
                <a:lumOff val="6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26018739437946553"/>
          <c:w val="0.76112270341207344"/>
          <c:h val="0.54318215959972005"/>
        </c:manualLayout>
      </c:layout>
      <c:barChart>
        <c:barDir val="col"/>
        <c:grouping val="clustered"/>
        <c:varyColors val="0"/>
        <c:ser>
          <c:idx val="0"/>
          <c:order val="0"/>
          <c:tx>
            <c:strRef>
              <c:f>'Pivot Table 6'!$D$10</c:f>
              <c:strCache>
                <c:ptCount val="1"/>
                <c:pt idx="0">
                  <c:v>Total</c:v>
                </c:pt>
              </c:strCache>
            </c:strRef>
          </c:tx>
          <c:spPr>
            <a:solidFill>
              <a:srgbClr val="92D050"/>
            </a:solidFill>
            <a:ln w="9525" cap="flat" cmpd="sng" algn="ctr">
              <a:solidFill>
                <a:schemeClr val="accent3">
                  <a:lumMod val="40000"/>
                  <a:lumOff val="60000"/>
                </a:schemeClr>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6'!$C$11:$C$16</c:f>
              <c:strCache>
                <c:ptCount val="5"/>
                <c:pt idx="0">
                  <c:v>Compost</c:v>
                </c:pt>
                <c:pt idx="1">
                  <c:v>Dap</c:v>
                </c:pt>
                <c:pt idx="2">
                  <c:v>Npk</c:v>
                </c:pt>
                <c:pt idx="3">
                  <c:v>Urea</c:v>
                </c:pt>
                <c:pt idx="4">
                  <c:v>Vermicompost</c:v>
                </c:pt>
              </c:strCache>
            </c:strRef>
          </c:cat>
          <c:val>
            <c:numRef>
              <c:f>'Pivot Table 6'!$D$11:$D$16</c:f>
              <c:numCache>
                <c:formatCode>General</c:formatCode>
                <c:ptCount val="5"/>
                <c:pt idx="0">
                  <c:v>1470.874954191763</c:v>
                </c:pt>
                <c:pt idx="1">
                  <c:v>1578.7054086319579</c:v>
                </c:pt>
                <c:pt idx="2">
                  <c:v>1548.3719938425431</c:v>
                </c:pt>
                <c:pt idx="3">
                  <c:v>1545.5437297235319</c:v>
                </c:pt>
                <c:pt idx="4">
                  <c:v>1322.5794702656765</c:v>
                </c:pt>
              </c:numCache>
            </c:numRef>
          </c:val>
          <c:extLst>
            <c:ext xmlns:c16="http://schemas.microsoft.com/office/drawing/2014/chart" uri="{C3380CC4-5D6E-409C-BE32-E72D297353CC}">
              <c16:uniqueId val="{00000000-C23D-4903-ADED-2835151452AC}"/>
            </c:ext>
          </c:extLst>
        </c:ser>
        <c:dLbls>
          <c:dLblPos val="inEnd"/>
          <c:showLegendKey val="0"/>
          <c:showVal val="1"/>
          <c:showCatName val="0"/>
          <c:showSerName val="0"/>
          <c:showPercent val="0"/>
          <c:showBubbleSize val="0"/>
        </c:dLbls>
        <c:gapWidth val="315"/>
        <c:overlap val="-40"/>
        <c:axId val="159257168"/>
        <c:axId val="1658051087"/>
      </c:barChart>
      <c:catAx>
        <c:axId val="1592571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8051087"/>
        <c:crosses val="autoZero"/>
        <c:auto val="1"/>
        <c:lblAlgn val="ctr"/>
        <c:lblOffset val="100"/>
        <c:noMultiLvlLbl val="0"/>
      </c:catAx>
      <c:valAx>
        <c:axId val="16580510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25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[laxman-444.xlsx]Pivot Table 8!PivotTable8</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8'!$E$10</c:f>
              <c:strCache>
                <c:ptCount val="1"/>
                <c:pt idx="0">
                  <c:v>Total</c:v>
                </c:pt>
              </c:strCache>
            </c:strRef>
          </c:tx>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8'!$D$11:$D$15</c:f>
              <c:strCache>
                <c:ptCount val="4"/>
                <c:pt idx="0">
                  <c:v>Borewell</c:v>
                </c:pt>
                <c:pt idx="1">
                  <c:v>Canal</c:v>
                </c:pt>
                <c:pt idx="2">
                  <c:v>Drip</c:v>
                </c:pt>
                <c:pt idx="3">
                  <c:v>Rainfed</c:v>
                </c:pt>
              </c:strCache>
            </c:strRef>
          </c:cat>
          <c:val>
            <c:numRef>
              <c:f>'Pivot Table 8'!$E$11:$E$15</c:f>
              <c:numCache>
                <c:formatCode>General</c:formatCode>
                <c:ptCount val="4"/>
                <c:pt idx="0">
                  <c:v>1003.4899999999999</c:v>
                </c:pt>
                <c:pt idx="1">
                  <c:v>893.28000000000009</c:v>
                </c:pt>
                <c:pt idx="2">
                  <c:v>1010.6299999999999</c:v>
                </c:pt>
                <c:pt idx="3">
                  <c:v>667.2</c:v>
                </c:pt>
              </c:numCache>
            </c:numRef>
          </c:val>
          <c:extLst>
            <c:ext xmlns:c16="http://schemas.microsoft.com/office/drawing/2014/chart" uri="{C3380CC4-5D6E-409C-BE32-E72D297353CC}">
              <c16:uniqueId val="{00000000-C8E8-4B51-A27B-E38EEF28BB41}"/>
            </c:ext>
          </c:extLst>
        </c:ser>
        <c:dLbls>
          <c:dLblPos val="inEnd"/>
          <c:showLegendKey val="0"/>
          <c:showVal val="1"/>
          <c:showCatName val="0"/>
          <c:showSerName val="0"/>
          <c:showPercent val="0"/>
          <c:showBubbleSize val="0"/>
        </c:dLbls>
        <c:gapWidth val="100"/>
        <c:overlap val="-24"/>
        <c:axId val="773688480"/>
        <c:axId val="1536473295"/>
      </c:barChart>
      <c:catAx>
        <c:axId val="773688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6473295"/>
        <c:crosses val="autoZero"/>
        <c:auto val="1"/>
        <c:lblAlgn val="ctr"/>
        <c:lblOffset val="100"/>
        <c:noMultiLvlLbl val="0"/>
      </c:catAx>
      <c:valAx>
        <c:axId val="1536473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36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[laxman-444.xlsx]Pivot Table 9!PivotTable9</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147607356586224"/>
          <c:y val="0.28258288214682309"/>
          <c:w val="0.49366532812738817"/>
          <c:h val="0.63430554197041444"/>
        </c:manualLayout>
      </c:layout>
      <c:barChart>
        <c:barDir val="bar"/>
        <c:grouping val="clustered"/>
        <c:varyColors val="0"/>
        <c:ser>
          <c:idx val="0"/>
          <c:order val="0"/>
          <c:tx>
            <c:strRef>
              <c:f>'Pivot Table 9'!$E$10</c:f>
              <c:strCache>
                <c:ptCount val="1"/>
                <c:pt idx="0">
                  <c:v>Total</c:v>
                </c:pt>
              </c:strCache>
            </c:strRef>
          </c:tx>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cat>
            <c:strRef>
              <c:f>'Pivot Table 9'!$D$11:$D$14</c:f>
              <c:strCache>
                <c:ptCount val="3"/>
                <c:pt idx="0">
                  <c:v>Patiala</c:v>
                </c:pt>
                <c:pt idx="1">
                  <c:v>Amritsar</c:v>
                </c:pt>
                <c:pt idx="2">
                  <c:v>Ludhiana</c:v>
                </c:pt>
              </c:strCache>
            </c:strRef>
          </c:cat>
          <c:val>
            <c:numRef>
              <c:f>'Pivot Table 9'!$E$11:$E$14</c:f>
              <c:numCache>
                <c:formatCode>General</c:formatCode>
                <c:ptCount val="3"/>
                <c:pt idx="0">
                  <c:v>168.22391304347826</c:v>
                </c:pt>
                <c:pt idx="1">
                  <c:v>165.86000000000004</c:v>
                </c:pt>
                <c:pt idx="2">
                  <c:v>159.40380952380951</c:v>
                </c:pt>
              </c:numCache>
            </c:numRef>
          </c:val>
          <c:extLst>
            <c:ext xmlns:c16="http://schemas.microsoft.com/office/drawing/2014/chart" uri="{C3380CC4-5D6E-409C-BE32-E72D297353CC}">
              <c16:uniqueId val="{00000000-320C-486C-85A1-6E35C482B2FF}"/>
            </c:ext>
          </c:extLst>
        </c:ser>
        <c:dLbls>
          <c:showLegendKey val="0"/>
          <c:showVal val="0"/>
          <c:showCatName val="0"/>
          <c:showSerName val="0"/>
          <c:showPercent val="0"/>
          <c:showBubbleSize val="0"/>
        </c:dLbls>
        <c:gapWidth val="115"/>
        <c:overlap val="-20"/>
        <c:axId val="773749264"/>
        <c:axId val="1070169648"/>
      </c:barChart>
      <c:catAx>
        <c:axId val="7737492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0169648"/>
        <c:crosses val="autoZero"/>
        <c:auto val="1"/>
        <c:lblAlgn val="ctr"/>
        <c:lblOffset val="100"/>
        <c:noMultiLvlLbl val="0"/>
      </c:catAx>
      <c:valAx>
        <c:axId val="10701696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374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sx="102000" sy="102000" algn="tl" rotWithShape="0">
        <a:schemeClr val="tx1">
          <a:lumMod val="50000"/>
          <a:lumOff val="50000"/>
          <a:alpha val="8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[laxman-444.xlsx]Sheet2!PivotTable1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Production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4"/>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1096144617408"/>
          <c:y val="0.32995135608048992"/>
          <c:w val="0.74845603674540684"/>
          <c:h val="0.38617454068241469"/>
        </c:manualLayout>
      </c:layout>
      <c:barChart>
        <c:barDir val="col"/>
        <c:grouping val="clustered"/>
        <c:varyColors val="0"/>
        <c:ser>
          <c:idx val="0"/>
          <c:order val="0"/>
          <c:tx>
            <c:strRef>
              <c:f>Sheet2!$B$3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Sheet2!$A$4:$A$5</c:f>
              <c:strCache>
                <c:ptCount val="1"/>
                <c:pt idx="0">
                  <c:v>Punjab</c:v>
                </c:pt>
              </c:strCache>
            </c:strRef>
          </c:cat>
          <c:val>
            <c:numRef>
              <c:f>Sheet2!$B$4:$B$5</c:f>
              <c:numCache>
                <c:formatCode>General</c:formatCode>
                <c:ptCount val="1"/>
                <c:pt idx="0">
                  <c:v>13679.020000000002</c:v>
                </c:pt>
              </c:numCache>
            </c:numRef>
          </c:val>
          <c:extLst>
            <c:ext xmlns:c16="http://schemas.microsoft.com/office/drawing/2014/chart" uri="{C3380CC4-5D6E-409C-BE32-E72D297353CC}">
              <c16:uniqueId val="{00000000-C1BA-4D0A-AE01-6FB0FA034D67}"/>
            </c:ext>
          </c:extLst>
        </c:ser>
        <c:dLbls>
          <c:dLblPos val="inEnd"/>
          <c:showLegendKey val="0"/>
          <c:showVal val="1"/>
          <c:showCatName val="0"/>
          <c:showSerName val="0"/>
          <c:showPercent val="0"/>
          <c:showBubbleSize val="0"/>
        </c:dLbls>
        <c:gapWidth val="100"/>
        <c:overlap val="-24"/>
        <c:axId val="1646817135"/>
        <c:axId val="1658090447"/>
      </c:barChart>
      <c:catAx>
        <c:axId val="1646817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090447"/>
        <c:crosses val="autoZero"/>
        <c:auto val="1"/>
        <c:lblAlgn val="ctr"/>
        <c:lblOffset val="100"/>
        <c:noMultiLvlLbl val="0"/>
      </c:catAx>
      <c:valAx>
        <c:axId val="1658090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681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[laxman-444.xlsx]Sheet2!PivotTable3</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Total Production by Crop</a:t>
            </a:r>
            <a:endParaRPr lang="en-US"/>
          </a:p>
        </c:rich>
      </c:tx>
      <c:layout>
        <c:manualLayout>
          <c:xMode val="edge"/>
          <c:yMode val="edge"/>
          <c:x val="0.38653003855723755"/>
          <c:y val="8.083492304220894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Sheet2!$C$20</c:f>
              <c:strCache>
                <c:ptCount val="1"/>
                <c:pt idx="0">
                  <c:v>Total</c:v>
                </c:pt>
              </c:strCache>
            </c:strRef>
          </c:tx>
          <c:spPr>
            <a:solidFill>
              <a:srgbClr val="92D050"/>
            </a:solidFill>
            <a:ln w="9525" cap="flat" cmpd="sng" algn="ctr">
              <a:solidFill>
                <a:schemeClr val="accent1"/>
              </a:solidFill>
              <a:miter lim="800000"/>
            </a:ln>
            <a:effectLst>
              <a:glow rad="63500">
                <a:schemeClr val="accent1">
                  <a:satMod val="175000"/>
                  <a:alpha val="25000"/>
                </a:schemeClr>
              </a:glow>
            </a:effectLst>
          </c:spPr>
          <c:invertIfNegative val="0"/>
          <c:cat>
            <c:strRef>
              <c:f>Sheet2!$B$21:$B$27</c:f>
              <c:strCache>
                <c:ptCount val="6"/>
                <c:pt idx="0">
                  <c:v>Cotton</c:v>
                </c:pt>
                <c:pt idx="1">
                  <c:v>Maize</c:v>
                </c:pt>
                <c:pt idx="2">
                  <c:v>Pulses</c:v>
                </c:pt>
                <c:pt idx="3">
                  <c:v>Rice</c:v>
                </c:pt>
                <c:pt idx="4">
                  <c:v>Sugarcane</c:v>
                </c:pt>
                <c:pt idx="5">
                  <c:v>Wheat</c:v>
                </c:pt>
              </c:strCache>
            </c:strRef>
          </c:cat>
          <c:val>
            <c:numRef>
              <c:f>Sheet2!$C$21:$C$27</c:f>
              <c:numCache>
                <c:formatCode>General</c:formatCode>
                <c:ptCount val="6"/>
                <c:pt idx="0">
                  <c:v>1273.96</c:v>
                </c:pt>
                <c:pt idx="1">
                  <c:v>2067.9</c:v>
                </c:pt>
                <c:pt idx="2">
                  <c:v>1606.21</c:v>
                </c:pt>
                <c:pt idx="3">
                  <c:v>2305.7199999999998</c:v>
                </c:pt>
                <c:pt idx="4">
                  <c:v>3076.82</c:v>
                </c:pt>
                <c:pt idx="5">
                  <c:v>3348.41</c:v>
                </c:pt>
              </c:numCache>
            </c:numRef>
          </c:val>
          <c:extLst>
            <c:ext xmlns:c16="http://schemas.microsoft.com/office/drawing/2014/chart" uri="{C3380CC4-5D6E-409C-BE32-E72D297353CC}">
              <c16:uniqueId val="{00000000-4C5A-43FD-AE78-9E5AB2C0AA44}"/>
            </c:ext>
          </c:extLst>
        </c:ser>
        <c:dLbls>
          <c:showLegendKey val="0"/>
          <c:showVal val="0"/>
          <c:showCatName val="0"/>
          <c:showSerName val="0"/>
          <c:showPercent val="0"/>
          <c:showBubbleSize val="0"/>
        </c:dLbls>
        <c:gapWidth val="182"/>
        <c:overlap val="-50"/>
        <c:axId val="2031768575"/>
        <c:axId val="1658108687"/>
      </c:barChart>
      <c:catAx>
        <c:axId val="2031768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8108687"/>
        <c:crosses val="autoZero"/>
        <c:auto val="1"/>
        <c:lblAlgn val="ctr"/>
        <c:lblOffset val="100"/>
        <c:noMultiLvlLbl val="0"/>
      </c:catAx>
      <c:valAx>
        <c:axId val="1658108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1768575"/>
        <c:crosses val="autoZero"/>
        <c:crossBetween val="between"/>
      </c:valAx>
      <c:spPr>
        <a:noFill/>
        <a:ln>
          <a:noFill/>
        </a:ln>
        <a:effectLst>
          <a:outerShdw blurRad="50800" dist="50800" dir="5400000" algn="ctr" rotWithShape="0">
            <a:schemeClr val="tx1">
              <a:lumMod val="50000"/>
              <a:lumOff val="50000"/>
            </a:scheme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outerShdw blurRad="50800" dist="38100" dir="2700000" sx="102000" sy="102000" algn="tl" rotWithShape="0">
        <a:schemeClr val="tx1">
          <a:lumMod val="50000"/>
          <a:lumOff val="50000"/>
          <a:alpha val="8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[laxman-444.xlsx]Sheet2!PivotTable4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Monthly Production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34925" cap="rnd">
            <a:solidFill>
              <a:srgbClr val="92D050"/>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34925" cap="rnd">
            <a:solidFill>
              <a:srgbClr val="92D050"/>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Sheet2!$C$38</c:f>
              <c:strCache>
                <c:ptCount val="1"/>
                <c:pt idx="0">
                  <c:v>Total</c:v>
                </c:pt>
              </c:strCache>
            </c:strRef>
          </c:tx>
          <c:spPr>
            <a:ln w="34925"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cat>
            <c:strRef>
              <c:f>Sheet2!$B$39:$B$98</c:f>
              <c:strCache>
                <c:ptCount val="59"/>
                <c:pt idx="0">
                  <c:v>2010-12</c:v>
                </c:pt>
                <c:pt idx="1">
                  <c:v>2011-02</c:v>
                </c:pt>
                <c:pt idx="2">
                  <c:v>2011-05</c:v>
                </c:pt>
                <c:pt idx="3">
                  <c:v>2011-06</c:v>
                </c:pt>
                <c:pt idx="4">
                  <c:v>2011-07</c:v>
                </c:pt>
                <c:pt idx="5">
                  <c:v>2011-09</c:v>
                </c:pt>
                <c:pt idx="6">
                  <c:v>2011-10</c:v>
                </c:pt>
                <c:pt idx="7">
                  <c:v>2011-12</c:v>
                </c:pt>
                <c:pt idx="8">
                  <c:v>2012-01</c:v>
                </c:pt>
                <c:pt idx="9">
                  <c:v>2012-03</c:v>
                </c:pt>
                <c:pt idx="10">
                  <c:v>2012-04</c:v>
                </c:pt>
                <c:pt idx="11">
                  <c:v>2012-08</c:v>
                </c:pt>
                <c:pt idx="12">
                  <c:v>2013-02</c:v>
                </c:pt>
                <c:pt idx="13">
                  <c:v>2013-04</c:v>
                </c:pt>
                <c:pt idx="14">
                  <c:v>2013-05</c:v>
                </c:pt>
                <c:pt idx="15">
                  <c:v>2013-06</c:v>
                </c:pt>
                <c:pt idx="16">
                  <c:v>2013-08</c:v>
                </c:pt>
                <c:pt idx="17">
                  <c:v>2013-09</c:v>
                </c:pt>
                <c:pt idx="18">
                  <c:v>2013-12</c:v>
                </c:pt>
                <c:pt idx="19">
                  <c:v>2014-01</c:v>
                </c:pt>
                <c:pt idx="20">
                  <c:v>2014-04</c:v>
                </c:pt>
                <c:pt idx="21">
                  <c:v>2014-05</c:v>
                </c:pt>
                <c:pt idx="22">
                  <c:v>2014-09</c:v>
                </c:pt>
                <c:pt idx="23">
                  <c:v>2015-02</c:v>
                </c:pt>
                <c:pt idx="24">
                  <c:v>2015-05</c:v>
                </c:pt>
                <c:pt idx="25">
                  <c:v>2015-07</c:v>
                </c:pt>
                <c:pt idx="26">
                  <c:v>2016-03</c:v>
                </c:pt>
                <c:pt idx="27">
                  <c:v>2016-04</c:v>
                </c:pt>
                <c:pt idx="28">
                  <c:v>2017-01</c:v>
                </c:pt>
                <c:pt idx="29">
                  <c:v>2017-02</c:v>
                </c:pt>
                <c:pt idx="30">
                  <c:v>2017-04</c:v>
                </c:pt>
                <c:pt idx="31">
                  <c:v>2017-05</c:v>
                </c:pt>
                <c:pt idx="32">
                  <c:v>2017-06</c:v>
                </c:pt>
                <c:pt idx="33">
                  <c:v>2018-02</c:v>
                </c:pt>
                <c:pt idx="34">
                  <c:v>2018-04</c:v>
                </c:pt>
                <c:pt idx="35">
                  <c:v>2018-05</c:v>
                </c:pt>
                <c:pt idx="36">
                  <c:v>2018-07</c:v>
                </c:pt>
                <c:pt idx="37">
                  <c:v>2018-08</c:v>
                </c:pt>
                <c:pt idx="38">
                  <c:v>2018-10</c:v>
                </c:pt>
                <c:pt idx="39">
                  <c:v>2019-04</c:v>
                </c:pt>
                <c:pt idx="40">
                  <c:v>2019-05</c:v>
                </c:pt>
                <c:pt idx="41">
                  <c:v>2019-08</c:v>
                </c:pt>
                <c:pt idx="42">
                  <c:v>2019-09</c:v>
                </c:pt>
                <c:pt idx="43">
                  <c:v>2019-10</c:v>
                </c:pt>
                <c:pt idx="44">
                  <c:v>2020-03</c:v>
                </c:pt>
                <c:pt idx="45">
                  <c:v>2020-04</c:v>
                </c:pt>
                <c:pt idx="46">
                  <c:v>2020-05</c:v>
                </c:pt>
                <c:pt idx="47">
                  <c:v>2020-09</c:v>
                </c:pt>
                <c:pt idx="48">
                  <c:v>2021-01</c:v>
                </c:pt>
                <c:pt idx="49">
                  <c:v>2021-02</c:v>
                </c:pt>
                <c:pt idx="50">
                  <c:v>2021-03</c:v>
                </c:pt>
                <c:pt idx="51">
                  <c:v>2021-04</c:v>
                </c:pt>
                <c:pt idx="52">
                  <c:v>2021-05</c:v>
                </c:pt>
                <c:pt idx="53">
                  <c:v>2021-11</c:v>
                </c:pt>
                <c:pt idx="54">
                  <c:v>2021-12</c:v>
                </c:pt>
                <c:pt idx="55">
                  <c:v>2022-02</c:v>
                </c:pt>
                <c:pt idx="56">
                  <c:v>2022-04</c:v>
                </c:pt>
                <c:pt idx="57">
                  <c:v>2022-06</c:v>
                </c:pt>
                <c:pt idx="58">
                  <c:v>2023-01</c:v>
                </c:pt>
              </c:strCache>
            </c:strRef>
          </c:cat>
          <c:val>
            <c:numRef>
              <c:f>Sheet2!$C$39:$C$98</c:f>
              <c:numCache>
                <c:formatCode>General</c:formatCode>
                <c:ptCount val="59"/>
                <c:pt idx="0">
                  <c:v>264.5</c:v>
                </c:pt>
                <c:pt idx="1">
                  <c:v>34.11</c:v>
                </c:pt>
                <c:pt idx="2">
                  <c:v>542.16</c:v>
                </c:pt>
                <c:pt idx="3">
                  <c:v>144.31</c:v>
                </c:pt>
                <c:pt idx="4">
                  <c:v>274.52</c:v>
                </c:pt>
                <c:pt idx="5">
                  <c:v>39.33</c:v>
                </c:pt>
                <c:pt idx="6">
                  <c:v>200.13</c:v>
                </c:pt>
                <c:pt idx="7">
                  <c:v>212.06</c:v>
                </c:pt>
                <c:pt idx="8">
                  <c:v>139.59</c:v>
                </c:pt>
                <c:pt idx="9">
                  <c:v>639.29</c:v>
                </c:pt>
                <c:pt idx="10">
                  <c:v>348.12</c:v>
                </c:pt>
                <c:pt idx="11">
                  <c:v>283.08</c:v>
                </c:pt>
                <c:pt idx="12">
                  <c:v>615.66000000000008</c:v>
                </c:pt>
                <c:pt idx="13">
                  <c:v>15.32</c:v>
                </c:pt>
                <c:pt idx="14">
                  <c:v>127.37</c:v>
                </c:pt>
                <c:pt idx="15">
                  <c:v>150.69999999999999</c:v>
                </c:pt>
                <c:pt idx="16">
                  <c:v>44.58</c:v>
                </c:pt>
                <c:pt idx="17">
                  <c:v>285.25</c:v>
                </c:pt>
                <c:pt idx="18">
                  <c:v>427.76</c:v>
                </c:pt>
                <c:pt idx="19">
                  <c:v>34.770000000000003</c:v>
                </c:pt>
                <c:pt idx="20">
                  <c:v>270.43</c:v>
                </c:pt>
                <c:pt idx="21">
                  <c:v>221.5</c:v>
                </c:pt>
                <c:pt idx="22">
                  <c:v>56.79</c:v>
                </c:pt>
                <c:pt idx="23">
                  <c:v>57.57</c:v>
                </c:pt>
                <c:pt idx="24">
                  <c:v>368.72</c:v>
                </c:pt>
                <c:pt idx="25">
                  <c:v>54.44</c:v>
                </c:pt>
                <c:pt idx="26">
                  <c:v>341.49</c:v>
                </c:pt>
                <c:pt idx="27">
                  <c:v>428.47</c:v>
                </c:pt>
                <c:pt idx="28">
                  <c:v>317.02999999999997</c:v>
                </c:pt>
                <c:pt idx="29">
                  <c:v>389.09999999999997</c:v>
                </c:pt>
                <c:pt idx="30">
                  <c:v>112.23</c:v>
                </c:pt>
                <c:pt idx="31">
                  <c:v>44.26</c:v>
                </c:pt>
                <c:pt idx="32">
                  <c:v>127.32</c:v>
                </c:pt>
                <c:pt idx="33">
                  <c:v>353.79</c:v>
                </c:pt>
                <c:pt idx="34">
                  <c:v>543.95000000000005</c:v>
                </c:pt>
                <c:pt idx="35">
                  <c:v>200.3</c:v>
                </c:pt>
                <c:pt idx="36">
                  <c:v>32.51</c:v>
                </c:pt>
                <c:pt idx="37">
                  <c:v>174.34</c:v>
                </c:pt>
                <c:pt idx="38">
                  <c:v>418.45</c:v>
                </c:pt>
                <c:pt idx="39">
                  <c:v>366.44</c:v>
                </c:pt>
                <c:pt idx="40">
                  <c:v>172.33</c:v>
                </c:pt>
                <c:pt idx="41">
                  <c:v>262.64</c:v>
                </c:pt>
                <c:pt idx="42">
                  <c:v>237.91</c:v>
                </c:pt>
                <c:pt idx="43">
                  <c:v>198.75</c:v>
                </c:pt>
                <c:pt idx="44">
                  <c:v>118.76</c:v>
                </c:pt>
                <c:pt idx="45">
                  <c:v>202.79</c:v>
                </c:pt>
                <c:pt idx="46">
                  <c:v>271.83</c:v>
                </c:pt>
                <c:pt idx="47">
                  <c:v>59.12</c:v>
                </c:pt>
                <c:pt idx="48">
                  <c:v>146.26</c:v>
                </c:pt>
                <c:pt idx="49">
                  <c:v>505.04</c:v>
                </c:pt>
                <c:pt idx="50">
                  <c:v>14.36</c:v>
                </c:pt>
                <c:pt idx="51">
                  <c:v>179.39</c:v>
                </c:pt>
                <c:pt idx="52">
                  <c:v>178.2</c:v>
                </c:pt>
                <c:pt idx="53">
                  <c:v>253.41</c:v>
                </c:pt>
                <c:pt idx="54">
                  <c:v>16.920000000000002</c:v>
                </c:pt>
                <c:pt idx="55">
                  <c:v>12.81</c:v>
                </c:pt>
                <c:pt idx="56">
                  <c:v>205.76</c:v>
                </c:pt>
                <c:pt idx="57">
                  <c:v>637.42999999999995</c:v>
                </c:pt>
                <c:pt idx="58">
                  <c:v>303.57</c:v>
                </c:pt>
              </c:numCache>
            </c:numRef>
          </c:val>
          <c:smooth val="0"/>
          <c:extLst>
            <c:ext xmlns:c16="http://schemas.microsoft.com/office/drawing/2014/chart" uri="{C3380CC4-5D6E-409C-BE32-E72D297353CC}">
              <c16:uniqueId val="{00000000-0C7D-40CD-8FF1-85FB79FA12F2}"/>
            </c:ext>
          </c:extLst>
        </c:ser>
        <c:dLbls>
          <c:showLegendKey val="0"/>
          <c:showVal val="0"/>
          <c:showCatName val="0"/>
          <c:showSerName val="0"/>
          <c:showPercent val="0"/>
          <c:showBubbleSize val="0"/>
        </c:dLbls>
        <c:marker val="1"/>
        <c:smooth val="0"/>
        <c:axId val="1646822703"/>
        <c:axId val="1658029487"/>
      </c:lineChart>
      <c:catAx>
        <c:axId val="16468227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029487"/>
        <c:crosses val="autoZero"/>
        <c:auto val="1"/>
        <c:lblAlgn val="ctr"/>
        <c:lblOffset val="100"/>
        <c:noMultiLvlLbl val="0"/>
      </c:catAx>
      <c:valAx>
        <c:axId val="165802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682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Rainfall vs Yield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148255401300287"/>
          <c:y val="0.19121655435602919"/>
          <c:w val="0.7929305046587678"/>
          <c:h val="0.64873920260763118"/>
        </c:manualLayout>
      </c:layout>
      <c:scatterChart>
        <c:scatterStyle val="lineMarker"/>
        <c:varyColors val="0"/>
        <c:ser>
          <c:idx val="0"/>
          <c:order val="0"/>
          <c:tx>
            <c:strRef>
              <c:f>Agricultural_Crop_Yield!$N$1</c:f>
              <c:strCache>
                <c:ptCount val="1"/>
                <c:pt idx="0">
                  <c:v>Rainfall (mm)</c:v>
                </c:pt>
              </c:strCache>
            </c:strRef>
          </c:tx>
          <c:spPr>
            <a:ln w="25400" cap="rnd">
              <a:noFill/>
            </a:ln>
            <a:effectLst>
              <a:glow rad="139700">
                <a:schemeClr val="accent1">
                  <a:satMod val="175000"/>
                  <a:alpha val="14000"/>
                </a:schemeClr>
              </a:glow>
            </a:effectLst>
          </c:spPr>
          <c:marker>
            <c:symbol val="circle"/>
            <c:size val="3"/>
            <c:spPr>
              <a:solidFill>
                <a:srgbClr val="92D050"/>
              </a:solidFill>
              <a:ln>
                <a:noFill/>
              </a:ln>
              <a:effectLst>
                <a:glow rad="63500">
                  <a:schemeClr val="accent1">
                    <a:satMod val="175000"/>
                    <a:alpha val="25000"/>
                  </a:schemeClr>
                </a:glow>
              </a:effectLst>
            </c:spPr>
          </c:marker>
          <c:xVal>
            <c:numRef>
              <c:f>Agricultural_Crop_Yield!$J$2:$J$541</c:f>
              <c:numCache>
                <c:formatCode>General</c:formatCode>
                <c:ptCount val="540"/>
                <c:pt idx="0">
                  <c:v>1837.23</c:v>
                </c:pt>
                <c:pt idx="1">
                  <c:v>2193.0300000000002</c:v>
                </c:pt>
                <c:pt idx="2">
                  <c:v>3279.56</c:v>
                </c:pt>
                <c:pt idx="3">
                  <c:v>6170.24</c:v>
                </c:pt>
                <c:pt idx="4">
                  <c:v>3188.99</c:v>
                </c:pt>
                <c:pt idx="5">
                  <c:v>6552.35</c:v>
                </c:pt>
                <c:pt idx="6">
                  <c:v>2888.07</c:v>
                </c:pt>
                <c:pt idx="7">
                  <c:v>6386.94</c:v>
                </c:pt>
                <c:pt idx="8">
                  <c:v>3532.96</c:v>
                </c:pt>
                <c:pt idx="9">
                  <c:v>5611.59</c:v>
                </c:pt>
                <c:pt idx="10">
                  <c:v>4833.7</c:v>
                </c:pt>
                <c:pt idx="11">
                  <c:v>6272.33</c:v>
                </c:pt>
                <c:pt idx="12">
                  <c:v>3851.69</c:v>
                </c:pt>
                <c:pt idx="13">
                  <c:v>6970.9</c:v>
                </c:pt>
                <c:pt idx="14">
                  <c:v>1425.96</c:v>
                </c:pt>
                <c:pt idx="15">
                  <c:v>6294.3</c:v>
                </c:pt>
                <c:pt idx="16">
                  <c:v>4920.7299999999996</c:v>
                </c:pt>
                <c:pt idx="17">
                  <c:v>6246.92</c:v>
                </c:pt>
                <c:pt idx="18">
                  <c:v>6187.9</c:v>
                </c:pt>
                <c:pt idx="19">
                  <c:v>1928.78</c:v>
                </c:pt>
                <c:pt idx="20">
                  <c:v>6764.67</c:v>
                </c:pt>
                <c:pt idx="21">
                  <c:v>1491.9</c:v>
                </c:pt>
                <c:pt idx="22">
                  <c:v>6614.41</c:v>
                </c:pt>
                <c:pt idx="23">
                  <c:v>1946.48</c:v>
                </c:pt>
                <c:pt idx="24">
                  <c:v>5454.5</c:v>
                </c:pt>
                <c:pt idx="25">
                  <c:v>2660.08</c:v>
                </c:pt>
                <c:pt idx="26">
                  <c:v>6298.64</c:v>
                </c:pt>
                <c:pt idx="27">
                  <c:v>2497.1799999999998</c:v>
                </c:pt>
                <c:pt idx="28">
                  <c:v>5419.39</c:v>
                </c:pt>
                <c:pt idx="29">
                  <c:v>3761.82</c:v>
                </c:pt>
                <c:pt idx="30">
                  <c:v>3398.07</c:v>
                </c:pt>
                <c:pt idx="31">
                  <c:v>3618.36</c:v>
                </c:pt>
                <c:pt idx="32">
                  <c:v>2182.21</c:v>
                </c:pt>
                <c:pt idx="33">
                  <c:v>3414.4</c:v>
                </c:pt>
                <c:pt idx="34">
                  <c:v>2261.1</c:v>
                </c:pt>
                <c:pt idx="35">
                  <c:v>3011.13</c:v>
                </c:pt>
                <c:pt idx="36">
                  <c:v>4778.59</c:v>
                </c:pt>
                <c:pt idx="37">
                  <c:v>1301.31</c:v>
                </c:pt>
                <c:pt idx="38">
                  <c:v>6352.12</c:v>
                </c:pt>
                <c:pt idx="39">
                  <c:v>2435.48</c:v>
                </c:pt>
                <c:pt idx="40">
                  <c:v>2283.7199999999998</c:v>
                </c:pt>
                <c:pt idx="41">
                  <c:v>1035.3800000000001</c:v>
                </c:pt>
                <c:pt idx="42">
                  <c:v>3333.14</c:v>
                </c:pt>
                <c:pt idx="43">
                  <c:v>3571.68</c:v>
                </c:pt>
                <c:pt idx="44">
                  <c:v>3821.84</c:v>
                </c:pt>
                <c:pt idx="45">
                  <c:v>3841.37</c:v>
                </c:pt>
                <c:pt idx="46">
                  <c:v>1648.59</c:v>
                </c:pt>
                <c:pt idx="47">
                  <c:v>2809.5</c:v>
                </c:pt>
                <c:pt idx="48">
                  <c:v>5933.99</c:v>
                </c:pt>
                <c:pt idx="49">
                  <c:v>4229.04</c:v>
                </c:pt>
                <c:pt idx="50">
                  <c:v>3273.94</c:v>
                </c:pt>
                <c:pt idx="51">
                  <c:v>6688.38</c:v>
                </c:pt>
                <c:pt idx="52">
                  <c:v>2459.83</c:v>
                </c:pt>
                <c:pt idx="53">
                  <c:v>1723.94</c:v>
                </c:pt>
                <c:pt idx="54">
                  <c:v>1603.16</c:v>
                </c:pt>
                <c:pt idx="55">
                  <c:v>1757.68</c:v>
                </c:pt>
                <c:pt idx="56">
                  <c:v>3404.24</c:v>
                </c:pt>
                <c:pt idx="57">
                  <c:v>5744.44</c:v>
                </c:pt>
                <c:pt idx="58">
                  <c:v>1595.4</c:v>
                </c:pt>
                <c:pt idx="59">
                  <c:v>3819.47</c:v>
                </c:pt>
                <c:pt idx="60">
                  <c:v>4267.37</c:v>
                </c:pt>
                <c:pt idx="61">
                  <c:v>5132.07</c:v>
                </c:pt>
                <c:pt idx="62">
                  <c:v>6771.47</c:v>
                </c:pt>
                <c:pt idx="63">
                  <c:v>3615.31</c:v>
                </c:pt>
                <c:pt idx="64">
                  <c:v>3402.71</c:v>
                </c:pt>
                <c:pt idx="65">
                  <c:v>2125.5</c:v>
                </c:pt>
                <c:pt idx="66">
                  <c:v>1173.22</c:v>
                </c:pt>
                <c:pt idx="67">
                  <c:v>3990.25</c:v>
                </c:pt>
                <c:pt idx="68">
                  <c:v>6275.96</c:v>
                </c:pt>
                <c:pt idx="69">
                  <c:v>4479.54</c:v>
                </c:pt>
                <c:pt idx="70">
                  <c:v>3297.83</c:v>
                </c:pt>
                <c:pt idx="71">
                  <c:v>6245.14</c:v>
                </c:pt>
                <c:pt idx="72">
                  <c:v>3384.9</c:v>
                </c:pt>
                <c:pt idx="73">
                  <c:v>5106.3999999999996</c:v>
                </c:pt>
                <c:pt idx="74">
                  <c:v>5776.86</c:v>
                </c:pt>
                <c:pt idx="75">
                  <c:v>2444.98</c:v>
                </c:pt>
                <c:pt idx="76">
                  <c:v>3073.39</c:v>
                </c:pt>
                <c:pt idx="77">
                  <c:v>4448.87</c:v>
                </c:pt>
                <c:pt idx="78">
                  <c:v>3113.93</c:v>
                </c:pt>
                <c:pt idx="79">
                  <c:v>1540.8</c:v>
                </c:pt>
                <c:pt idx="80">
                  <c:v>6665.13</c:v>
                </c:pt>
                <c:pt idx="81">
                  <c:v>6803.62</c:v>
                </c:pt>
                <c:pt idx="82">
                  <c:v>4831.3</c:v>
                </c:pt>
                <c:pt idx="83">
                  <c:v>6456.33</c:v>
                </c:pt>
                <c:pt idx="84">
                  <c:v>3226.07</c:v>
                </c:pt>
                <c:pt idx="85">
                  <c:v>3660.3</c:v>
                </c:pt>
                <c:pt idx="86">
                  <c:v>2272.63</c:v>
                </c:pt>
                <c:pt idx="87">
                  <c:v>2397.9899999999998</c:v>
                </c:pt>
                <c:pt idx="88">
                  <c:v>1154.68</c:v>
                </c:pt>
                <c:pt idx="89">
                  <c:v>1381.35</c:v>
                </c:pt>
                <c:pt idx="90">
                  <c:v>4860.04</c:v>
                </c:pt>
                <c:pt idx="91">
                  <c:v>1394.09</c:v>
                </c:pt>
                <c:pt idx="92">
                  <c:v>5210.68</c:v>
                </c:pt>
                <c:pt idx="93">
                  <c:v>2529.34</c:v>
                </c:pt>
                <c:pt idx="94">
                  <c:v>4518.79</c:v>
                </c:pt>
                <c:pt idx="95">
                  <c:v>1928.38</c:v>
                </c:pt>
                <c:pt idx="96">
                  <c:v>4340.4399999999996</c:v>
                </c:pt>
                <c:pt idx="97">
                  <c:v>5445.81</c:v>
                </c:pt>
                <c:pt idx="98">
                  <c:v>6300.05</c:v>
                </c:pt>
                <c:pt idx="99">
                  <c:v>1682.91</c:v>
                </c:pt>
                <c:pt idx="100">
                  <c:v>6671.94</c:v>
                </c:pt>
                <c:pt idx="101">
                  <c:v>6000.13</c:v>
                </c:pt>
                <c:pt idx="102">
                  <c:v>4840.8500000000004</c:v>
                </c:pt>
                <c:pt idx="103">
                  <c:v>4143.78</c:v>
                </c:pt>
                <c:pt idx="104">
                  <c:v>5657.37</c:v>
                </c:pt>
                <c:pt idx="105">
                  <c:v>6707.75</c:v>
                </c:pt>
                <c:pt idx="106">
                  <c:v>3653.25</c:v>
                </c:pt>
                <c:pt idx="107">
                  <c:v>6185.5</c:v>
                </c:pt>
                <c:pt idx="108">
                  <c:v>4008.2</c:v>
                </c:pt>
                <c:pt idx="109">
                  <c:v>3636.53</c:v>
                </c:pt>
                <c:pt idx="110">
                  <c:v>4347.78</c:v>
                </c:pt>
                <c:pt idx="111">
                  <c:v>5190.88</c:v>
                </c:pt>
                <c:pt idx="112">
                  <c:v>6474.69</c:v>
                </c:pt>
                <c:pt idx="113">
                  <c:v>1825.39</c:v>
                </c:pt>
                <c:pt idx="114">
                  <c:v>1925.52</c:v>
                </c:pt>
                <c:pt idx="115">
                  <c:v>5514.35</c:v>
                </c:pt>
                <c:pt idx="116">
                  <c:v>4017.44</c:v>
                </c:pt>
                <c:pt idx="117">
                  <c:v>4095.46</c:v>
                </c:pt>
                <c:pt idx="118">
                  <c:v>6582.83</c:v>
                </c:pt>
                <c:pt idx="119">
                  <c:v>5748.28</c:v>
                </c:pt>
                <c:pt idx="120">
                  <c:v>6009.78</c:v>
                </c:pt>
                <c:pt idx="121">
                  <c:v>3998.98</c:v>
                </c:pt>
                <c:pt idx="122">
                  <c:v>1513.68</c:v>
                </c:pt>
                <c:pt idx="123">
                  <c:v>3239.81</c:v>
                </c:pt>
                <c:pt idx="124">
                  <c:v>5881.05</c:v>
                </c:pt>
                <c:pt idx="125">
                  <c:v>2196.8200000000002</c:v>
                </c:pt>
                <c:pt idx="126">
                  <c:v>6172.83</c:v>
                </c:pt>
                <c:pt idx="127">
                  <c:v>3985.14</c:v>
                </c:pt>
                <c:pt idx="128">
                  <c:v>2838.98</c:v>
                </c:pt>
                <c:pt idx="129">
                  <c:v>3437.26</c:v>
                </c:pt>
                <c:pt idx="130">
                  <c:v>6696.8</c:v>
                </c:pt>
                <c:pt idx="131">
                  <c:v>2672.14</c:v>
                </c:pt>
                <c:pt idx="132">
                  <c:v>2713.46</c:v>
                </c:pt>
                <c:pt idx="133">
                  <c:v>4299.9799999999996</c:v>
                </c:pt>
                <c:pt idx="134">
                  <c:v>1157.7</c:v>
                </c:pt>
                <c:pt idx="135">
                  <c:v>5614.99</c:v>
                </c:pt>
                <c:pt idx="136">
                  <c:v>5606.69</c:v>
                </c:pt>
                <c:pt idx="137">
                  <c:v>6684.9</c:v>
                </c:pt>
                <c:pt idx="138">
                  <c:v>4483.88</c:v>
                </c:pt>
                <c:pt idx="139">
                  <c:v>2587.94</c:v>
                </c:pt>
                <c:pt idx="140">
                  <c:v>3721.26</c:v>
                </c:pt>
                <c:pt idx="141">
                  <c:v>1784.6</c:v>
                </c:pt>
                <c:pt idx="142">
                  <c:v>6184.98</c:v>
                </c:pt>
                <c:pt idx="143">
                  <c:v>2851.24</c:v>
                </c:pt>
                <c:pt idx="144">
                  <c:v>6057.1</c:v>
                </c:pt>
                <c:pt idx="145">
                  <c:v>4370.8999999999996</c:v>
                </c:pt>
                <c:pt idx="146">
                  <c:v>1580.09</c:v>
                </c:pt>
                <c:pt idx="147">
                  <c:v>5281.55</c:v>
                </c:pt>
                <c:pt idx="148">
                  <c:v>5969.74</c:v>
                </c:pt>
                <c:pt idx="149">
                  <c:v>4581.46</c:v>
                </c:pt>
                <c:pt idx="150">
                  <c:v>5647.64</c:v>
                </c:pt>
                <c:pt idx="151">
                  <c:v>5143</c:v>
                </c:pt>
                <c:pt idx="152">
                  <c:v>3260.95</c:v>
                </c:pt>
                <c:pt idx="153">
                  <c:v>6648.91</c:v>
                </c:pt>
                <c:pt idx="154">
                  <c:v>4259.1499999999996</c:v>
                </c:pt>
                <c:pt idx="155">
                  <c:v>2212.41</c:v>
                </c:pt>
                <c:pt idx="156">
                  <c:v>1314.95</c:v>
                </c:pt>
                <c:pt idx="157">
                  <c:v>6783.48</c:v>
                </c:pt>
                <c:pt idx="158">
                  <c:v>2054.73</c:v>
                </c:pt>
                <c:pt idx="159">
                  <c:v>3010.25</c:v>
                </c:pt>
                <c:pt idx="160">
                  <c:v>3753.49</c:v>
                </c:pt>
                <c:pt idx="161">
                  <c:v>1520.43</c:v>
                </c:pt>
                <c:pt idx="162">
                  <c:v>5337.3</c:v>
                </c:pt>
                <c:pt idx="163">
                  <c:v>6326.81</c:v>
                </c:pt>
                <c:pt idx="164">
                  <c:v>3241.75</c:v>
                </c:pt>
                <c:pt idx="165">
                  <c:v>1673.25</c:v>
                </c:pt>
                <c:pt idx="166">
                  <c:v>4062.25</c:v>
                </c:pt>
                <c:pt idx="167">
                  <c:v>1018.09</c:v>
                </c:pt>
                <c:pt idx="168">
                  <c:v>1812.57</c:v>
                </c:pt>
                <c:pt idx="169">
                  <c:v>3086.62</c:v>
                </c:pt>
                <c:pt idx="170">
                  <c:v>3544.77</c:v>
                </c:pt>
                <c:pt idx="171">
                  <c:v>1403.75</c:v>
                </c:pt>
                <c:pt idx="172">
                  <c:v>6960.9</c:v>
                </c:pt>
                <c:pt idx="173">
                  <c:v>2650.92</c:v>
                </c:pt>
                <c:pt idx="174">
                  <c:v>2799.33</c:v>
                </c:pt>
                <c:pt idx="175">
                  <c:v>4343.72</c:v>
                </c:pt>
                <c:pt idx="176">
                  <c:v>1309.22</c:v>
                </c:pt>
                <c:pt idx="177">
                  <c:v>6442.2</c:v>
                </c:pt>
                <c:pt idx="178">
                  <c:v>2435.9899999999998</c:v>
                </c:pt>
                <c:pt idx="179">
                  <c:v>5334.48</c:v>
                </c:pt>
                <c:pt idx="180">
                  <c:v>2771.15</c:v>
                </c:pt>
                <c:pt idx="181">
                  <c:v>2009.4</c:v>
                </c:pt>
                <c:pt idx="182">
                  <c:v>5009.29</c:v>
                </c:pt>
                <c:pt idx="183">
                  <c:v>5000.53</c:v>
                </c:pt>
                <c:pt idx="184">
                  <c:v>5878.94</c:v>
                </c:pt>
                <c:pt idx="185">
                  <c:v>2603.9499999999998</c:v>
                </c:pt>
                <c:pt idx="186">
                  <c:v>1561</c:v>
                </c:pt>
                <c:pt idx="187">
                  <c:v>6843.04</c:v>
                </c:pt>
                <c:pt idx="188">
                  <c:v>6572.6</c:v>
                </c:pt>
                <c:pt idx="189">
                  <c:v>6096.65</c:v>
                </c:pt>
                <c:pt idx="190">
                  <c:v>4683.1899999999996</c:v>
                </c:pt>
                <c:pt idx="191">
                  <c:v>4515.25</c:v>
                </c:pt>
                <c:pt idx="192">
                  <c:v>2900.07</c:v>
                </c:pt>
                <c:pt idx="193">
                  <c:v>4074.65</c:v>
                </c:pt>
                <c:pt idx="194">
                  <c:v>4357.22</c:v>
                </c:pt>
                <c:pt idx="195">
                  <c:v>3526.61</c:v>
                </c:pt>
                <c:pt idx="196">
                  <c:v>6692.94</c:v>
                </c:pt>
                <c:pt idx="197">
                  <c:v>2885.1</c:v>
                </c:pt>
                <c:pt idx="198">
                  <c:v>4383.1000000000004</c:v>
                </c:pt>
                <c:pt idx="199">
                  <c:v>1835.07</c:v>
                </c:pt>
                <c:pt idx="200">
                  <c:v>6522.35</c:v>
                </c:pt>
                <c:pt idx="201">
                  <c:v>1998.03</c:v>
                </c:pt>
                <c:pt idx="202">
                  <c:v>4112.79</c:v>
                </c:pt>
                <c:pt idx="203">
                  <c:v>1515.13</c:v>
                </c:pt>
                <c:pt idx="204">
                  <c:v>2801.58</c:v>
                </c:pt>
                <c:pt idx="205">
                  <c:v>6750.78</c:v>
                </c:pt>
                <c:pt idx="206">
                  <c:v>3333.01</c:v>
                </c:pt>
                <c:pt idx="207">
                  <c:v>6175.82</c:v>
                </c:pt>
                <c:pt idx="208">
                  <c:v>4541.01</c:v>
                </c:pt>
                <c:pt idx="209">
                  <c:v>3538.23</c:v>
                </c:pt>
                <c:pt idx="210">
                  <c:v>3154.24</c:v>
                </c:pt>
                <c:pt idx="211">
                  <c:v>3932.2</c:v>
                </c:pt>
                <c:pt idx="212">
                  <c:v>5595.52</c:v>
                </c:pt>
                <c:pt idx="213">
                  <c:v>6938.65</c:v>
                </c:pt>
                <c:pt idx="214">
                  <c:v>2421.6799999999998</c:v>
                </c:pt>
                <c:pt idx="215">
                  <c:v>2686.51</c:v>
                </c:pt>
                <c:pt idx="216">
                  <c:v>6196.47</c:v>
                </c:pt>
                <c:pt idx="217">
                  <c:v>3711.95</c:v>
                </c:pt>
                <c:pt idx="218">
                  <c:v>3750.7</c:v>
                </c:pt>
                <c:pt idx="219">
                  <c:v>1783.57</c:v>
                </c:pt>
                <c:pt idx="220">
                  <c:v>3566.8</c:v>
                </c:pt>
                <c:pt idx="221">
                  <c:v>4753.63</c:v>
                </c:pt>
                <c:pt idx="222">
                  <c:v>1048.3800000000001</c:v>
                </c:pt>
                <c:pt idx="223">
                  <c:v>3205.37</c:v>
                </c:pt>
                <c:pt idx="224">
                  <c:v>3640.6</c:v>
                </c:pt>
                <c:pt idx="225">
                  <c:v>3109.21</c:v>
                </c:pt>
                <c:pt idx="226">
                  <c:v>5142.8599999999997</c:v>
                </c:pt>
                <c:pt idx="227">
                  <c:v>4828.49</c:v>
                </c:pt>
                <c:pt idx="228">
                  <c:v>5576.36</c:v>
                </c:pt>
                <c:pt idx="229">
                  <c:v>3541.45</c:v>
                </c:pt>
                <c:pt idx="230">
                  <c:v>4518.62</c:v>
                </c:pt>
                <c:pt idx="231">
                  <c:v>5450.16</c:v>
                </c:pt>
                <c:pt idx="232">
                  <c:v>1761.58</c:v>
                </c:pt>
                <c:pt idx="233">
                  <c:v>3976.89</c:v>
                </c:pt>
                <c:pt idx="234">
                  <c:v>1015.41</c:v>
                </c:pt>
                <c:pt idx="235">
                  <c:v>2489.58</c:v>
                </c:pt>
                <c:pt idx="236">
                  <c:v>1413.56</c:v>
                </c:pt>
                <c:pt idx="237">
                  <c:v>5437.46</c:v>
                </c:pt>
                <c:pt idx="238">
                  <c:v>4249.2700000000004</c:v>
                </c:pt>
                <c:pt idx="239">
                  <c:v>6835.36</c:v>
                </c:pt>
                <c:pt idx="240">
                  <c:v>4032.57</c:v>
                </c:pt>
                <c:pt idx="241">
                  <c:v>2957.51</c:v>
                </c:pt>
                <c:pt idx="242">
                  <c:v>1724.42</c:v>
                </c:pt>
                <c:pt idx="243">
                  <c:v>2290.12</c:v>
                </c:pt>
                <c:pt idx="244">
                  <c:v>4300.7299999999996</c:v>
                </c:pt>
                <c:pt idx="245">
                  <c:v>4868.1099999999997</c:v>
                </c:pt>
                <c:pt idx="246">
                  <c:v>6544.79</c:v>
                </c:pt>
                <c:pt idx="247">
                  <c:v>1891.79</c:v>
                </c:pt>
                <c:pt idx="248">
                  <c:v>4154.88</c:v>
                </c:pt>
                <c:pt idx="249">
                  <c:v>2913.27</c:v>
                </c:pt>
                <c:pt idx="250">
                  <c:v>2446.92</c:v>
                </c:pt>
                <c:pt idx="251">
                  <c:v>5428.63</c:v>
                </c:pt>
                <c:pt idx="252">
                  <c:v>3942.62</c:v>
                </c:pt>
                <c:pt idx="253">
                  <c:v>6512.68</c:v>
                </c:pt>
                <c:pt idx="254">
                  <c:v>3019.37</c:v>
                </c:pt>
                <c:pt idx="255">
                  <c:v>2339.42</c:v>
                </c:pt>
                <c:pt idx="256">
                  <c:v>2909.3</c:v>
                </c:pt>
                <c:pt idx="257">
                  <c:v>1532.36</c:v>
                </c:pt>
                <c:pt idx="258">
                  <c:v>5395.51</c:v>
                </c:pt>
                <c:pt idx="259">
                  <c:v>2353.5</c:v>
                </c:pt>
                <c:pt idx="260">
                  <c:v>4282.28</c:v>
                </c:pt>
                <c:pt idx="261">
                  <c:v>6846.39</c:v>
                </c:pt>
                <c:pt idx="262">
                  <c:v>3945.69</c:v>
                </c:pt>
                <c:pt idx="263">
                  <c:v>1491.62</c:v>
                </c:pt>
                <c:pt idx="264">
                  <c:v>3216.41</c:v>
                </c:pt>
                <c:pt idx="265">
                  <c:v>5008.8500000000004</c:v>
                </c:pt>
                <c:pt idx="266">
                  <c:v>3857.57</c:v>
                </c:pt>
                <c:pt idx="267">
                  <c:v>6906.21</c:v>
                </c:pt>
                <c:pt idx="268">
                  <c:v>5362.62</c:v>
                </c:pt>
                <c:pt idx="269">
                  <c:v>5690.11</c:v>
                </c:pt>
                <c:pt idx="270">
                  <c:v>6280.81</c:v>
                </c:pt>
                <c:pt idx="271">
                  <c:v>3410.32</c:v>
                </c:pt>
                <c:pt idx="272">
                  <c:v>3949.72</c:v>
                </c:pt>
                <c:pt idx="273">
                  <c:v>3650.3</c:v>
                </c:pt>
                <c:pt idx="274">
                  <c:v>6107.77</c:v>
                </c:pt>
                <c:pt idx="275">
                  <c:v>5941.04</c:v>
                </c:pt>
                <c:pt idx="276">
                  <c:v>1981.08</c:v>
                </c:pt>
                <c:pt idx="277">
                  <c:v>5066.17</c:v>
                </c:pt>
                <c:pt idx="278">
                  <c:v>2832.76</c:v>
                </c:pt>
                <c:pt idx="279">
                  <c:v>1044.0899999999999</c:v>
                </c:pt>
                <c:pt idx="280">
                  <c:v>2566.88</c:v>
                </c:pt>
                <c:pt idx="281">
                  <c:v>4932.3999999999996</c:v>
                </c:pt>
                <c:pt idx="282">
                  <c:v>4207.8100000000004</c:v>
                </c:pt>
                <c:pt idx="283">
                  <c:v>5351.12</c:v>
                </c:pt>
                <c:pt idx="284">
                  <c:v>6107.28</c:v>
                </c:pt>
                <c:pt idx="285">
                  <c:v>3478.64</c:v>
                </c:pt>
                <c:pt idx="286">
                  <c:v>4786.2</c:v>
                </c:pt>
                <c:pt idx="287">
                  <c:v>4800.93</c:v>
                </c:pt>
                <c:pt idx="288">
                  <c:v>1024.74</c:v>
                </c:pt>
                <c:pt idx="289">
                  <c:v>2744.97</c:v>
                </c:pt>
                <c:pt idx="290">
                  <c:v>5363.01</c:v>
                </c:pt>
                <c:pt idx="291">
                  <c:v>6968.08</c:v>
                </c:pt>
                <c:pt idx="292">
                  <c:v>5114.4399999999996</c:v>
                </c:pt>
                <c:pt idx="293">
                  <c:v>1684.08</c:v>
                </c:pt>
                <c:pt idx="294">
                  <c:v>6462.14</c:v>
                </c:pt>
                <c:pt idx="295">
                  <c:v>1607.74</c:v>
                </c:pt>
                <c:pt idx="296">
                  <c:v>2876.24</c:v>
                </c:pt>
                <c:pt idx="297">
                  <c:v>1557.71</c:v>
                </c:pt>
                <c:pt idx="298">
                  <c:v>5358.47</c:v>
                </c:pt>
                <c:pt idx="299">
                  <c:v>5106.78</c:v>
                </c:pt>
                <c:pt idx="300">
                  <c:v>5461.74</c:v>
                </c:pt>
                <c:pt idx="301">
                  <c:v>4982.26</c:v>
                </c:pt>
                <c:pt idx="302">
                  <c:v>2923.8</c:v>
                </c:pt>
                <c:pt idx="303">
                  <c:v>3688.59</c:v>
                </c:pt>
                <c:pt idx="304">
                  <c:v>1545.37</c:v>
                </c:pt>
                <c:pt idx="305">
                  <c:v>4599.71</c:v>
                </c:pt>
                <c:pt idx="306">
                  <c:v>1984.93</c:v>
                </c:pt>
                <c:pt idx="307">
                  <c:v>2143.4699999999998</c:v>
                </c:pt>
                <c:pt idx="308">
                  <c:v>5417.28</c:v>
                </c:pt>
                <c:pt idx="309">
                  <c:v>4636.96</c:v>
                </c:pt>
                <c:pt idx="310">
                  <c:v>4615.1499999999996</c:v>
                </c:pt>
                <c:pt idx="311">
                  <c:v>6527.15</c:v>
                </c:pt>
                <c:pt idx="312">
                  <c:v>4423.83</c:v>
                </c:pt>
                <c:pt idx="313">
                  <c:v>1339.63</c:v>
                </c:pt>
                <c:pt idx="314">
                  <c:v>3715.57</c:v>
                </c:pt>
                <c:pt idx="315">
                  <c:v>5728.67</c:v>
                </c:pt>
                <c:pt idx="316">
                  <c:v>4279.6899999999996</c:v>
                </c:pt>
                <c:pt idx="317">
                  <c:v>3571.05</c:v>
                </c:pt>
                <c:pt idx="318">
                  <c:v>4752.2</c:v>
                </c:pt>
                <c:pt idx="319">
                  <c:v>1956.22</c:v>
                </c:pt>
                <c:pt idx="320">
                  <c:v>4368.01</c:v>
                </c:pt>
                <c:pt idx="321">
                  <c:v>6669.93</c:v>
                </c:pt>
                <c:pt idx="322">
                  <c:v>4909.17</c:v>
                </c:pt>
                <c:pt idx="323">
                  <c:v>2279.0500000000002</c:v>
                </c:pt>
                <c:pt idx="324">
                  <c:v>1325.61</c:v>
                </c:pt>
                <c:pt idx="325">
                  <c:v>5039.79</c:v>
                </c:pt>
                <c:pt idx="326">
                  <c:v>2689.1</c:v>
                </c:pt>
                <c:pt idx="327">
                  <c:v>1864.45</c:v>
                </c:pt>
                <c:pt idx="328">
                  <c:v>2828.15</c:v>
                </c:pt>
                <c:pt idx="329">
                  <c:v>4403.76</c:v>
                </c:pt>
                <c:pt idx="330">
                  <c:v>4483.57</c:v>
                </c:pt>
                <c:pt idx="331">
                  <c:v>5160.75</c:v>
                </c:pt>
                <c:pt idx="332">
                  <c:v>3616.74</c:v>
                </c:pt>
                <c:pt idx="333">
                  <c:v>6050.76</c:v>
                </c:pt>
                <c:pt idx="334">
                  <c:v>2276.56</c:v>
                </c:pt>
                <c:pt idx="335">
                  <c:v>1803.29</c:v>
                </c:pt>
                <c:pt idx="336">
                  <c:v>2074.87</c:v>
                </c:pt>
                <c:pt idx="337">
                  <c:v>2240.64</c:v>
                </c:pt>
                <c:pt idx="338">
                  <c:v>4266.1000000000004</c:v>
                </c:pt>
                <c:pt idx="339">
                  <c:v>6206.32</c:v>
                </c:pt>
                <c:pt idx="340">
                  <c:v>1901.44</c:v>
                </c:pt>
                <c:pt idx="341">
                  <c:v>4544.75</c:v>
                </c:pt>
                <c:pt idx="342">
                  <c:v>2080.23</c:v>
                </c:pt>
                <c:pt idx="343">
                  <c:v>5982.18</c:v>
                </c:pt>
                <c:pt idx="344">
                  <c:v>1413.06</c:v>
                </c:pt>
                <c:pt idx="345">
                  <c:v>4688.49</c:v>
                </c:pt>
                <c:pt idx="346">
                  <c:v>3524.1</c:v>
                </c:pt>
                <c:pt idx="347">
                  <c:v>1803.3</c:v>
                </c:pt>
                <c:pt idx="348">
                  <c:v>1042.68</c:v>
                </c:pt>
                <c:pt idx="349">
                  <c:v>2567.8200000000002</c:v>
                </c:pt>
                <c:pt idx="350">
                  <c:v>3902.56</c:v>
                </c:pt>
                <c:pt idx="351">
                  <c:v>5716.49</c:v>
                </c:pt>
                <c:pt idx="352">
                  <c:v>1480.24</c:v>
                </c:pt>
                <c:pt idx="353">
                  <c:v>1064.26</c:v>
                </c:pt>
                <c:pt idx="354">
                  <c:v>6853.88</c:v>
                </c:pt>
                <c:pt idx="355">
                  <c:v>1541</c:v>
                </c:pt>
                <c:pt idx="356">
                  <c:v>2566.65</c:v>
                </c:pt>
                <c:pt idx="357">
                  <c:v>6796.33</c:v>
                </c:pt>
                <c:pt idx="358">
                  <c:v>4801.97</c:v>
                </c:pt>
                <c:pt idx="359">
                  <c:v>3393.58</c:v>
                </c:pt>
                <c:pt idx="360">
                  <c:v>2198</c:v>
                </c:pt>
                <c:pt idx="361">
                  <c:v>5054.87</c:v>
                </c:pt>
                <c:pt idx="362">
                  <c:v>6906.37</c:v>
                </c:pt>
                <c:pt idx="363">
                  <c:v>5118.03</c:v>
                </c:pt>
                <c:pt idx="364">
                  <c:v>3169.61</c:v>
                </c:pt>
                <c:pt idx="365">
                  <c:v>3233.86</c:v>
                </c:pt>
                <c:pt idx="366">
                  <c:v>3285.3</c:v>
                </c:pt>
                <c:pt idx="367">
                  <c:v>5712</c:v>
                </c:pt>
                <c:pt idx="368">
                  <c:v>5467.56</c:v>
                </c:pt>
                <c:pt idx="369">
                  <c:v>4894.79</c:v>
                </c:pt>
                <c:pt idx="370">
                  <c:v>1869.09</c:v>
                </c:pt>
                <c:pt idx="371">
                  <c:v>2901.27</c:v>
                </c:pt>
                <c:pt idx="372">
                  <c:v>6125.27</c:v>
                </c:pt>
                <c:pt idx="373">
                  <c:v>3382.08</c:v>
                </c:pt>
                <c:pt idx="374">
                  <c:v>1758.47</c:v>
                </c:pt>
                <c:pt idx="375">
                  <c:v>4544.99</c:v>
                </c:pt>
                <c:pt idx="376">
                  <c:v>3194.7</c:v>
                </c:pt>
                <c:pt idx="377">
                  <c:v>6681.75</c:v>
                </c:pt>
                <c:pt idx="378">
                  <c:v>1979.62</c:v>
                </c:pt>
                <c:pt idx="379">
                  <c:v>4890.74</c:v>
                </c:pt>
                <c:pt idx="380">
                  <c:v>2923.86</c:v>
                </c:pt>
                <c:pt idx="381">
                  <c:v>1904.1</c:v>
                </c:pt>
                <c:pt idx="382">
                  <c:v>3354.53</c:v>
                </c:pt>
                <c:pt idx="383">
                  <c:v>6967.21</c:v>
                </c:pt>
                <c:pt idx="384">
                  <c:v>1253.1199999999999</c:v>
                </c:pt>
                <c:pt idx="385">
                  <c:v>5766.34</c:v>
                </c:pt>
                <c:pt idx="386">
                  <c:v>1548.41</c:v>
                </c:pt>
                <c:pt idx="387">
                  <c:v>4350.1000000000004</c:v>
                </c:pt>
                <c:pt idx="388">
                  <c:v>4354.1499999999996</c:v>
                </c:pt>
                <c:pt idx="389">
                  <c:v>3696.31</c:v>
                </c:pt>
                <c:pt idx="390">
                  <c:v>1380.05</c:v>
                </c:pt>
                <c:pt idx="391">
                  <c:v>1400.08</c:v>
                </c:pt>
                <c:pt idx="392">
                  <c:v>5207.88</c:v>
                </c:pt>
                <c:pt idx="393">
                  <c:v>4348.12</c:v>
                </c:pt>
                <c:pt idx="394">
                  <c:v>6763.52</c:v>
                </c:pt>
                <c:pt idx="395">
                  <c:v>5476.65</c:v>
                </c:pt>
                <c:pt idx="396">
                  <c:v>6990.6</c:v>
                </c:pt>
                <c:pt idx="397">
                  <c:v>4378.87</c:v>
                </c:pt>
                <c:pt idx="398">
                  <c:v>4105.66</c:v>
                </c:pt>
                <c:pt idx="399">
                  <c:v>1226.42</c:v>
                </c:pt>
                <c:pt idx="400">
                  <c:v>5341.48</c:v>
                </c:pt>
                <c:pt idx="401">
                  <c:v>5680.73</c:v>
                </c:pt>
                <c:pt idx="402">
                  <c:v>3294.92</c:v>
                </c:pt>
                <c:pt idx="403">
                  <c:v>5517.04</c:v>
                </c:pt>
                <c:pt idx="404">
                  <c:v>1510.47</c:v>
                </c:pt>
                <c:pt idx="405">
                  <c:v>5414.01</c:v>
                </c:pt>
                <c:pt idx="406">
                  <c:v>2924.43</c:v>
                </c:pt>
                <c:pt idx="407">
                  <c:v>1935.95</c:v>
                </c:pt>
                <c:pt idx="408">
                  <c:v>1136.49</c:v>
                </c:pt>
                <c:pt idx="409">
                  <c:v>1110.33</c:v>
                </c:pt>
                <c:pt idx="410">
                  <c:v>4977.8900000000003</c:v>
                </c:pt>
                <c:pt idx="411">
                  <c:v>2118.5</c:v>
                </c:pt>
                <c:pt idx="412">
                  <c:v>5105.87</c:v>
                </c:pt>
                <c:pt idx="413">
                  <c:v>6383.05</c:v>
                </c:pt>
                <c:pt idx="414">
                  <c:v>2975.71</c:v>
                </c:pt>
                <c:pt idx="415">
                  <c:v>6454.01</c:v>
                </c:pt>
                <c:pt idx="416">
                  <c:v>5592.61</c:v>
                </c:pt>
                <c:pt idx="417">
                  <c:v>4402.26</c:v>
                </c:pt>
                <c:pt idx="418">
                  <c:v>2103.86</c:v>
                </c:pt>
                <c:pt idx="419">
                  <c:v>5546.66</c:v>
                </c:pt>
                <c:pt idx="420">
                  <c:v>4647.58</c:v>
                </c:pt>
                <c:pt idx="421">
                  <c:v>2474.33</c:v>
                </c:pt>
                <c:pt idx="422">
                  <c:v>3534.77</c:v>
                </c:pt>
                <c:pt idx="423">
                  <c:v>5176.68</c:v>
                </c:pt>
                <c:pt idx="424">
                  <c:v>5268.82</c:v>
                </c:pt>
                <c:pt idx="425">
                  <c:v>1959.4</c:v>
                </c:pt>
                <c:pt idx="426">
                  <c:v>2857.11</c:v>
                </c:pt>
                <c:pt idx="427">
                  <c:v>4261.01</c:v>
                </c:pt>
                <c:pt idx="428">
                  <c:v>6293.01</c:v>
                </c:pt>
                <c:pt idx="429">
                  <c:v>6028.09</c:v>
                </c:pt>
                <c:pt idx="430">
                  <c:v>4433.7</c:v>
                </c:pt>
                <c:pt idx="431">
                  <c:v>1389.56</c:v>
                </c:pt>
                <c:pt idx="432">
                  <c:v>5378.37</c:v>
                </c:pt>
                <c:pt idx="433">
                  <c:v>4685.74</c:v>
                </c:pt>
                <c:pt idx="434">
                  <c:v>3789.31</c:v>
                </c:pt>
                <c:pt idx="435">
                  <c:v>2207.12</c:v>
                </c:pt>
                <c:pt idx="436">
                  <c:v>4695.96</c:v>
                </c:pt>
                <c:pt idx="437">
                  <c:v>3763.71</c:v>
                </c:pt>
                <c:pt idx="438">
                  <c:v>4464.3900000000003</c:v>
                </c:pt>
                <c:pt idx="439">
                  <c:v>1995.82</c:v>
                </c:pt>
                <c:pt idx="440">
                  <c:v>5976.74</c:v>
                </c:pt>
                <c:pt idx="441">
                  <c:v>1924.47</c:v>
                </c:pt>
                <c:pt idx="442">
                  <c:v>1219.32</c:v>
                </c:pt>
                <c:pt idx="443">
                  <c:v>5597.08</c:v>
                </c:pt>
                <c:pt idx="444">
                  <c:v>1895.92</c:v>
                </c:pt>
                <c:pt idx="445">
                  <c:v>5824.02</c:v>
                </c:pt>
                <c:pt idx="446">
                  <c:v>1516.72</c:v>
                </c:pt>
                <c:pt idx="447">
                  <c:v>5855.8</c:v>
                </c:pt>
                <c:pt idx="448">
                  <c:v>3792.38</c:v>
                </c:pt>
                <c:pt idx="449">
                  <c:v>1181.58</c:v>
                </c:pt>
                <c:pt idx="450">
                  <c:v>5780.55</c:v>
                </c:pt>
                <c:pt idx="451">
                  <c:v>3894.25</c:v>
                </c:pt>
                <c:pt idx="452">
                  <c:v>5017.63</c:v>
                </c:pt>
                <c:pt idx="453">
                  <c:v>5884.4</c:v>
                </c:pt>
                <c:pt idx="454">
                  <c:v>3717.85</c:v>
                </c:pt>
                <c:pt idx="455">
                  <c:v>3065.59</c:v>
                </c:pt>
                <c:pt idx="456">
                  <c:v>5924.52</c:v>
                </c:pt>
                <c:pt idx="457">
                  <c:v>4270.71</c:v>
                </c:pt>
                <c:pt idx="458">
                  <c:v>4890.34</c:v>
                </c:pt>
                <c:pt idx="459">
                  <c:v>5172.34</c:v>
                </c:pt>
                <c:pt idx="460">
                  <c:v>3988.94</c:v>
                </c:pt>
                <c:pt idx="461">
                  <c:v>6770.43</c:v>
                </c:pt>
                <c:pt idx="462">
                  <c:v>6762.47</c:v>
                </c:pt>
                <c:pt idx="463">
                  <c:v>4443.79</c:v>
                </c:pt>
                <c:pt idx="464">
                  <c:v>3838.96</c:v>
                </c:pt>
                <c:pt idx="465">
                  <c:v>5702.58</c:v>
                </c:pt>
                <c:pt idx="466">
                  <c:v>5847.04</c:v>
                </c:pt>
                <c:pt idx="467">
                  <c:v>3477.69</c:v>
                </c:pt>
                <c:pt idx="468">
                  <c:v>3392.47</c:v>
                </c:pt>
                <c:pt idx="469">
                  <c:v>5783.85</c:v>
                </c:pt>
                <c:pt idx="470">
                  <c:v>2602.5300000000002</c:v>
                </c:pt>
                <c:pt idx="471">
                  <c:v>5141.67</c:v>
                </c:pt>
                <c:pt idx="472">
                  <c:v>5351.5</c:v>
                </c:pt>
                <c:pt idx="473">
                  <c:v>4628.1099999999997</c:v>
                </c:pt>
                <c:pt idx="474">
                  <c:v>1454.29</c:v>
                </c:pt>
                <c:pt idx="475">
                  <c:v>6975.75</c:v>
                </c:pt>
                <c:pt idx="476">
                  <c:v>5612.24</c:v>
                </c:pt>
                <c:pt idx="477">
                  <c:v>1112.5899999999999</c:v>
                </c:pt>
                <c:pt idx="478">
                  <c:v>6639.47</c:v>
                </c:pt>
                <c:pt idx="479">
                  <c:v>3153.51</c:v>
                </c:pt>
                <c:pt idx="480">
                  <c:v>4326.8500000000004</c:v>
                </c:pt>
                <c:pt idx="481">
                  <c:v>2158.56</c:v>
                </c:pt>
                <c:pt idx="482">
                  <c:v>5726.67</c:v>
                </c:pt>
                <c:pt idx="483">
                  <c:v>3933.37</c:v>
                </c:pt>
                <c:pt idx="484">
                  <c:v>2024.14</c:v>
                </c:pt>
                <c:pt idx="485">
                  <c:v>2945.41</c:v>
                </c:pt>
                <c:pt idx="486">
                  <c:v>3219.56</c:v>
                </c:pt>
                <c:pt idx="487">
                  <c:v>1534.85</c:v>
                </c:pt>
                <c:pt idx="488">
                  <c:v>2047.29</c:v>
                </c:pt>
                <c:pt idx="489">
                  <c:v>4181.1899999999996</c:v>
                </c:pt>
                <c:pt idx="490">
                  <c:v>6811.44</c:v>
                </c:pt>
                <c:pt idx="491">
                  <c:v>5550.45</c:v>
                </c:pt>
                <c:pt idx="492">
                  <c:v>4478.57</c:v>
                </c:pt>
                <c:pt idx="493">
                  <c:v>3253.19</c:v>
                </c:pt>
                <c:pt idx="494">
                  <c:v>5318.93</c:v>
                </c:pt>
                <c:pt idx="495">
                  <c:v>5562.04</c:v>
                </c:pt>
                <c:pt idx="496">
                  <c:v>6973.99</c:v>
                </c:pt>
                <c:pt idx="497">
                  <c:v>6482.53</c:v>
                </c:pt>
                <c:pt idx="498">
                  <c:v>3714.65</c:v>
                </c:pt>
                <c:pt idx="499">
                  <c:v>2829.02</c:v>
                </c:pt>
              </c:numCache>
            </c:numRef>
          </c:xVal>
          <c:yVal>
            <c:numRef>
              <c:f>Agricultural_Crop_Yield!$N$2:$N$541</c:f>
              <c:numCache>
                <c:formatCode>General</c:formatCode>
                <c:ptCount val="540"/>
                <c:pt idx="0">
                  <c:v>1092.18</c:v>
                </c:pt>
                <c:pt idx="1">
                  <c:v>789.27</c:v>
                </c:pt>
                <c:pt idx="2">
                  <c:v>803.73</c:v>
                </c:pt>
                <c:pt idx="3">
                  <c:v>245.82</c:v>
                </c:pt>
                <c:pt idx="4">
                  <c:v>870.18</c:v>
                </c:pt>
                <c:pt idx="5">
                  <c:v>1042.8499999999999</c:v>
                </c:pt>
                <c:pt idx="6">
                  <c:v>1114.55</c:v>
                </c:pt>
                <c:pt idx="7">
                  <c:v>1197.33</c:v>
                </c:pt>
                <c:pt idx="8">
                  <c:v>795.89</c:v>
                </c:pt>
                <c:pt idx="9">
                  <c:v>634.77</c:v>
                </c:pt>
                <c:pt idx="10">
                  <c:v>962.51</c:v>
                </c:pt>
                <c:pt idx="11">
                  <c:v>440.87</c:v>
                </c:pt>
                <c:pt idx="12">
                  <c:v>1072.43</c:v>
                </c:pt>
                <c:pt idx="13">
                  <c:v>717.58</c:v>
                </c:pt>
                <c:pt idx="14">
                  <c:v>1105.42</c:v>
                </c:pt>
                <c:pt idx="15">
                  <c:v>672.97</c:v>
                </c:pt>
                <c:pt idx="16">
                  <c:v>928.21</c:v>
                </c:pt>
                <c:pt idx="17">
                  <c:v>1061.3499999999999</c:v>
                </c:pt>
                <c:pt idx="18">
                  <c:v>202.16</c:v>
                </c:pt>
                <c:pt idx="19">
                  <c:v>258.48</c:v>
                </c:pt>
                <c:pt idx="20">
                  <c:v>268.52</c:v>
                </c:pt>
                <c:pt idx="21">
                  <c:v>404.26</c:v>
                </c:pt>
                <c:pt idx="22">
                  <c:v>1198.45</c:v>
                </c:pt>
                <c:pt idx="23">
                  <c:v>1187.23</c:v>
                </c:pt>
                <c:pt idx="24">
                  <c:v>804.83</c:v>
                </c:pt>
                <c:pt idx="25">
                  <c:v>330.82</c:v>
                </c:pt>
                <c:pt idx="26">
                  <c:v>1034.5999999999999</c:v>
                </c:pt>
                <c:pt idx="27">
                  <c:v>759.88</c:v>
                </c:pt>
                <c:pt idx="28">
                  <c:v>611.71</c:v>
                </c:pt>
                <c:pt idx="29">
                  <c:v>1071.32</c:v>
                </c:pt>
                <c:pt idx="30">
                  <c:v>315.33999999999997</c:v>
                </c:pt>
                <c:pt idx="31">
                  <c:v>776.59</c:v>
                </c:pt>
                <c:pt idx="32">
                  <c:v>864.24</c:v>
                </c:pt>
                <c:pt idx="33">
                  <c:v>391.84</c:v>
                </c:pt>
                <c:pt idx="34">
                  <c:v>642.16</c:v>
                </c:pt>
                <c:pt idx="35">
                  <c:v>424.64</c:v>
                </c:pt>
                <c:pt idx="36">
                  <c:v>583.98</c:v>
                </c:pt>
                <c:pt idx="37">
                  <c:v>321.36</c:v>
                </c:pt>
                <c:pt idx="38">
                  <c:v>747.87</c:v>
                </c:pt>
                <c:pt idx="39">
                  <c:v>485.73</c:v>
                </c:pt>
                <c:pt idx="40">
                  <c:v>742.61</c:v>
                </c:pt>
                <c:pt idx="41">
                  <c:v>589.99</c:v>
                </c:pt>
                <c:pt idx="42">
                  <c:v>1040.51</c:v>
                </c:pt>
                <c:pt idx="43">
                  <c:v>460.16</c:v>
                </c:pt>
                <c:pt idx="44">
                  <c:v>549.96</c:v>
                </c:pt>
                <c:pt idx="45">
                  <c:v>417.96</c:v>
                </c:pt>
                <c:pt idx="46">
                  <c:v>775.8</c:v>
                </c:pt>
                <c:pt idx="47">
                  <c:v>765.93</c:v>
                </c:pt>
                <c:pt idx="48">
                  <c:v>562.19000000000005</c:v>
                </c:pt>
                <c:pt idx="49">
                  <c:v>1025.73</c:v>
                </c:pt>
                <c:pt idx="50">
                  <c:v>525.01</c:v>
                </c:pt>
                <c:pt idx="51">
                  <c:v>606.42999999999995</c:v>
                </c:pt>
                <c:pt idx="52">
                  <c:v>730.92</c:v>
                </c:pt>
                <c:pt idx="53">
                  <c:v>942.88</c:v>
                </c:pt>
                <c:pt idx="54">
                  <c:v>560.88</c:v>
                </c:pt>
                <c:pt idx="55">
                  <c:v>212.27</c:v>
                </c:pt>
                <c:pt idx="56">
                  <c:v>886.45</c:v>
                </c:pt>
                <c:pt idx="57">
                  <c:v>580.38</c:v>
                </c:pt>
                <c:pt idx="58">
                  <c:v>464.65</c:v>
                </c:pt>
                <c:pt idx="59">
                  <c:v>906.96</c:v>
                </c:pt>
                <c:pt idx="60">
                  <c:v>1026.6300000000001</c:v>
                </c:pt>
                <c:pt idx="61">
                  <c:v>700.47</c:v>
                </c:pt>
                <c:pt idx="62">
                  <c:v>872.28</c:v>
                </c:pt>
                <c:pt idx="63">
                  <c:v>670.01</c:v>
                </c:pt>
                <c:pt idx="64">
                  <c:v>514.52</c:v>
                </c:pt>
                <c:pt idx="65">
                  <c:v>698.49</c:v>
                </c:pt>
                <c:pt idx="66">
                  <c:v>510.75</c:v>
                </c:pt>
                <c:pt idx="67">
                  <c:v>473.42</c:v>
                </c:pt>
                <c:pt idx="68">
                  <c:v>990.01</c:v>
                </c:pt>
                <c:pt idx="69">
                  <c:v>646.54999999999995</c:v>
                </c:pt>
                <c:pt idx="70">
                  <c:v>944.71</c:v>
                </c:pt>
                <c:pt idx="71">
                  <c:v>1110.44</c:v>
                </c:pt>
                <c:pt idx="72">
                  <c:v>1052.3399999999999</c:v>
                </c:pt>
                <c:pt idx="73">
                  <c:v>946.77</c:v>
                </c:pt>
                <c:pt idx="74">
                  <c:v>630.69000000000005</c:v>
                </c:pt>
                <c:pt idx="75">
                  <c:v>837.9</c:v>
                </c:pt>
                <c:pt idx="76">
                  <c:v>624.30999999999995</c:v>
                </c:pt>
                <c:pt idx="77">
                  <c:v>1030.04</c:v>
                </c:pt>
                <c:pt idx="78">
                  <c:v>877.76</c:v>
                </c:pt>
                <c:pt idx="79">
                  <c:v>615.5</c:v>
                </c:pt>
                <c:pt idx="80">
                  <c:v>538.72</c:v>
                </c:pt>
                <c:pt idx="81">
                  <c:v>594.57000000000005</c:v>
                </c:pt>
                <c:pt idx="82">
                  <c:v>433.82</c:v>
                </c:pt>
                <c:pt idx="83">
                  <c:v>316.68</c:v>
                </c:pt>
                <c:pt idx="84">
                  <c:v>926.6</c:v>
                </c:pt>
                <c:pt idx="85">
                  <c:v>299.35000000000002</c:v>
                </c:pt>
                <c:pt idx="86">
                  <c:v>533.51</c:v>
                </c:pt>
                <c:pt idx="87">
                  <c:v>795.98</c:v>
                </c:pt>
                <c:pt idx="88">
                  <c:v>988.43</c:v>
                </c:pt>
                <c:pt idx="89">
                  <c:v>713.24</c:v>
                </c:pt>
                <c:pt idx="90">
                  <c:v>678.98</c:v>
                </c:pt>
                <c:pt idx="91">
                  <c:v>785.36</c:v>
                </c:pt>
                <c:pt idx="92">
                  <c:v>1088.0899999999999</c:v>
                </c:pt>
                <c:pt idx="93">
                  <c:v>674.27</c:v>
                </c:pt>
                <c:pt idx="94">
                  <c:v>610.80999999999995</c:v>
                </c:pt>
                <c:pt idx="95">
                  <c:v>308.22000000000003</c:v>
                </c:pt>
                <c:pt idx="96">
                  <c:v>473.27</c:v>
                </c:pt>
                <c:pt idx="97">
                  <c:v>730.48</c:v>
                </c:pt>
                <c:pt idx="98">
                  <c:v>817.84</c:v>
                </c:pt>
                <c:pt idx="99">
                  <c:v>878.22</c:v>
                </c:pt>
                <c:pt idx="100">
                  <c:v>489.45</c:v>
                </c:pt>
                <c:pt idx="101">
                  <c:v>1061.76</c:v>
                </c:pt>
                <c:pt idx="102">
                  <c:v>220.86</c:v>
                </c:pt>
                <c:pt idx="103">
                  <c:v>945.8</c:v>
                </c:pt>
                <c:pt idx="104">
                  <c:v>1018.95</c:v>
                </c:pt>
                <c:pt idx="105">
                  <c:v>763.74</c:v>
                </c:pt>
                <c:pt idx="106">
                  <c:v>791.42</c:v>
                </c:pt>
                <c:pt idx="107">
                  <c:v>707.07</c:v>
                </c:pt>
                <c:pt idx="108">
                  <c:v>1010.97</c:v>
                </c:pt>
                <c:pt idx="109">
                  <c:v>1117.94</c:v>
                </c:pt>
                <c:pt idx="110">
                  <c:v>923.73</c:v>
                </c:pt>
                <c:pt idx="111">
                  <c:v>908.83</c:v>
                </c:pt>
                <c:pt idx="112">
                  <c:v>623.41</c:v>
                </c:pt>
                <c:pt idx="113">
                  <c:v>988.12</c:v>
                </c:pt>
                <c:pt idx="114">
                  <c:v>971.1</c:v>
                </c:pt>
                <c:pt idx="115">
                  <c:v>439.17</c:v>
                </c:pt>
                <c:pt idx="116">
                  <c:v>1016.89</c:v>
                </c:pt>
                <c:pt idx="117">
                  <c:v>963.12</c:v>
                </c:pt>
                <c:pt idx="118">
                  <c:v>702.01</c:v>
                </c:pt>
                <c:pt idx="119">
                  <c:v>1117.4000000000001</c:v>
                </c:pt>
                <c:pt idx="120">
                  <c:v>488.1</c:v>
                </c:pt>
                <c:pt idx="121">
                  <c:v>775.05</c:v>
                </c:pt>
                <c:pt idx="122">
                  <c:v>726.06</c:v>
                </c:pt>
                <c:pt idx="123">
                  <c:v>267.56</c:v>
                </c:pt>
                <c:pt idx="124">
                  <c:v>884.68</c:v>
                </c:pt>
                <c:pt idx="125">
                  <c:v>510.08</c:v>
                </c:pt>
                <c:pt idx="126">
                  <c:v>531.91999999999996</c:v>
                </c:pt>
                <c:pt idx="127">
                  <c:v>927.08</c:v>
                </c:pt>
                <c:pt idx="128">
                  <c:v>643.91</c:v>
                </c:pt>
                <c:pt idx="129">
                  <c:v>342.78</c:v>
                </c:pt>
                <c:pt idx="130">
                  <c:v>879.06</c:v>
                </c:pt>
                <c:pt idx="131">
                  <c:v>386.05</c:v>
                </c:pt>
                <c:pt idx="132">
                  <c:v>335.73</c:v>
                </c:pt>
                <c:pt idx="133">
                  <c:v>1051.3599999999999</c:v>
                </c:pt>
                <c:pt idx="134">
                  <c:v>1183.01</c:v>
                </c:pt>
                <c:pt idx="135">
                  <c:v>517.03</c:v>
                </c:pt>
                <c:pt idx="136">
                  <c:v>1110.71</c:v>
                </c:pt>
                <c:pt idx="137">
                  <c:v>450.61</c:v>
                </c:pt>
                <c:pt idx="138">
                  <c:v>920.63</c:v>
                </c:pt>
                <c:pt idx="139">
                  <c:v>616.59</c:v>
                </c:pt>
                <c:pt idx="140">
                  <c:v>615.62</c:v>
                </c:pt>
                <c:pt idx="141">
                  <c:v>306.18</c:v>
                </c:pt>
                <c:pt idx="142">
                  <c:v>1065.31</c:v>
                </c:pt>
                <c:pt idx="143">
                  <c:v>593.24</c:v>
                </c:pt>
                <c:pt idx="144">
                  <c:v>208.18</c:v>
                </c:pt>
                <c:pt idx="145">
                  <c:v>273.52999999999997</c:v>
                </c:pt>
                <c:pt idx="146">
                  <c:v>539.09</c:v>
                </c:pt>
                <c:pt idx="147">
                  <c:v>348.94</c:v>
                </c:pt>
                <c:pt idx="148">
                  <c:v>499.79</c:v>
                </c:pt>
                <c:pt idx="149">
                  <c:v>982.9</c:v>
                </c:pt>
                <c:pt idx="150">
                  <c:v>880.73</c:v>
                </c:pt>
                <c:pt idx="151">
                  <c:v>811.48</c:v>
                </c:pt>
                <c:pt idx="152">
                  <c:v>733.13</c:v>
                </c:pt>
                <c:pt idx="153">
                  <c:v>904.9</c:v>
                </c:pt>
                <c:pt idx="154">
                  <c:v>1154.6099999999999</c:v>
                </c:pt>
                <c:pt idx="155">
                  <c:v>896.17</c:v>
                </c:pt>
                <c:pt idx="156">
                  <c:v>672.4</c:v>
                </c:pt>
                <c:pt idx="157">
                  <c:v>259.16000000000003</c:v>
                </c:pt>
                <c:pt idx="158">
                  <c:v>596.99</c:v>
                </c:pt>
                <c:pt idx="159">
                  <c:v>743.3</c:v>
                </c:pt>
                <c:pt idx="160">
                  <c:v>214.08</c:v>
                </c:pt>
                <c:pt idx="161">
                  <c:v>340.61</c:v>
                </c:pt>
                <c:pt idx="162">
                  <c:v>559.54999999999995</c:v>
                </c:pt>
                <c:pt idx="163">
                  <c:v>838.71</c:v>
                </c:pt>
                <c:pt idx="164">
                  <c:v>1001.99</c:v>
                </c:pt>
                <c:pt idx="165">
                  <c:v>349.85</c:v>
                </c:pt>
                <c:pt idx="166">
                  <c:v>713.25</c:v>
                </c:pt>
                <c:pt idx="167">
                  <c:v>245.29</c:v>
                </c:pt>
                <c:pt idx="168">
                  <c:v>1091.33</c:v>
                </c:pt>
                <c:pt idx="169">
                  <c:v>593.05999999999995</c:v>
                </c:pt>
                <c:pt idx="170">
                  <c:v>447.51</c:v>
                </c:pt>
                <c:pt idx="171">
                  <c:v>872.02</c:v>
                </c:pt>
                <c:pt idx="172">
                  <c:v>931.52</c:v>
                </c:pt>
                <c:pt idx="173">
                  <c:v>627.20000000000005</c:v>
                </c:pt>
                <c:pt idx="174">
                  <c:v>673.52</c:v>
                </c:pt>
                <c:pt idx="175">
                  <c:v>455</c:v>
                </c:pt>
                <c:pt idx="176">
                  <c:v>802.92</c:v>
                </c:pt>
                <c:pt idx="177">
                  <c:v>215.33</c:v>
                </c:pt>
                <c:pt idx="178">
                  <c:v>580.66</c:v>
                </c:pt>
                <c:pt idx="179">
                  <c:v>570.70000000000005</c:v>
                </c:pt>
                <c:pt idx="180">
                  <c:v>579.84</c:v>
                </c:pt>
                <c:pt idx="181">
                  <c:v>920.31</c:v>
                </c:pt>
                <c:pt idx="182">
                  <c:v>1042.54</c:v>
                </c:pt>
                <c:pt idx="183">
                  <c:v>215.73</c:v>
                </c:pt>
                <c:pt idx="184">
                  <c:v>1109.77</c:v>
                </c:pt>
                <c:pt idx="185">
                  <c:v>1159.3</c:v>
                </c:pt>
                <c:pt idx="186">
                  <c:v>676.01</c:v>
                </c:pt>
                <c:pt idx="187">
                  <c:v>1101.27</c:v>
                </c:pt>
                <c:pt idx="188">
                  <c:v>407.16</c:v>
                </c:pt>
                <c:pt idx="189">
                  <c:v>939.75</c:v>
                </c:pt>
                <c:pt idx="190">
                  <c:v>526.38</c:v>
                </c:pt>
                <c:pt idx="191">
                  <c:v>818.62</c:v>
                </c:pt>
                <c:pt idx="192">
                  <c:v>1142.96</c:v>
                </c:pt>
                <c:pt idx="193">
                  <c:v>553.91</c:v>
                </c:pt>
                <c:pt idx="194">
                  <c:v>369.58</c:v>
                </c:pt>
                <c:pt idx="195">
                  <c:v>561.12</c:v>
                </c:pt>
                <c:pt idx="196">
                  <c:v>579.89</c:v>
                </c:pt>
                <c:pt idx="197">
                  <c:v>491.45</c:v>
                </c:pt>
                <c:pt idx="198">
                  <c:v>750.1</c:v>
                </c:pt>
                <c:pt idx="199">
                  <c:v>858.66</c:v>
                </c:pt>
                <c:pt idx="200">
                  <c:v>990.72</c:v>
                </c:pt>
                <c:pt idx="201">
                  <c:v>845.03</c:v>
                </c:pt>
                <c:pt idx="202">
                  <c:v>591.13</c:v>
                </c:pt>
                <c:pt idx="203">
                  <c:v>543.07000000000005</c:v>
                </c:pt>
                <c:pt idx="204">
                  <c:v>543.08000000000004</c:v>
                </c:pt>
                <c:pt idx="205">
                  <c:v>829.76</c:v>
                </c:pt>
                <c:pt idx="206">
                  <c:v>952.33</c:v>
                </c:pt>
                <c:pt idx="207">
                  <c:v>811.31</c:v>
                </c:pt>
                <c:pt idx="208">
                  <c:v>438.57</c:v>
                </c:pt>
                <c:pt idx="209">
                  <c:v>893.43</c:v>
                </c:pt>
                <c:pt idx="210">
                  <c:v>395.13</c:v>
                </c:pt>
                <c:pt idx="211">
                  <c:v>995.88</c:v>
                </c:pt>
                <c:pt idx="212">
                  <c:v>467.89</c:v>
                </c:pt>
                <c:pt idx="213">
                  <c:v>853.67</c:v>
                </c:pt>
                <c:pt idx="214">
                  <c:v>810.26</c:v>
                </c:pt>
                <c:pt idx="215">
                  <c:v>904.05</c:v>
                </c:pt>
                <c:pt idx="216">
                  <c:v>522.1</c:v>
                </c:pt>
                <c:pt idx="217">
                  <c:v>949.8</c:v>
                </c:pt>
                <c:pt idx="218">
                  <c:v>995.68</c:v>
                </c:pt>
                <c:pt idx="219">
                  <c:v>1094.1500000000001</c:v>
                </c:pt>
                <c:pt idx="220">
                  <c:v>501.87</c:v>
                </c:pt>
                <c:pt idx="221">
                  <c:v>291.2</c:v>
                </c:pt>
                <c:pt idx="222">
                  <c:v>1188.1500000000001</c:v>
                </c:pt>
                <c:pt idx="223">
                  <c:v>973.46</c:v>
                </c:pt>
                <c:pt idx="224">
                  <c:v>351.37</c:v>
                </c:pt>
                <c:pt idx="225">
                  <c:v>339.83</c:v>
                </c:pt>
                <c:pt idx="226">
                  <c:v>806.93</c:v>
                </c:pt>
                <c:pt idx="227">
                  <c:v>1177.7</c:v>
                </c:pt>
                <c:pt idx="228">
                  <c:v>267.52999999999997</c:v>
                </c:pt>
                <c:pt idx="229">
                  <c:v>736.56</c:v>
                </c:pt>
                <c:pt idx="230">
                  <c:v>637.49</c:v>
                </c:pt>
                <c:pt idx="231">
                  <c:v>907.9</c:v>
                </c:pt>
                <c:pt idx="232">
                  <c:v>318.06</c:v>
                </c:pt>
                <c:pt idx="233">
                  <c:v>1059.3599999999999</c:v>
                </c:pt>
                <c:pt idx="234">
                  <c:v>671.76</c:v>
                </c:pt>
                <c:pt idx="235">
                  <c:v>277.89</c:v>
                </c:pt>
                <c:pt idx="236">
                  <c:v>973.53</c:v>
                </c:pt>
                <c:pt idx="237">
                  <c:v>791.69</c:v>
                </c:pt>
                <c:pt idx="238">
                  <c:v>201.46</c:v>
                </c:pt>
                <c:pt idx="239">
                  <c:v>293.02999999999997</c:v>
                </c:pt>
                <c:pt idx="240">
                  <c:v>767.82</c:v>
                </c:pt>
                <c:pt idx="241">
                  <c:v>274.69</c:v>
                </c:pt>
                <c:pt idx="242">
                  <c:v>407.64</c:v>
                </c:pt>
                <c:pt idx="243">
                  <c:v>911.16</c:v>
                </c:pt>
                <c:pt idx="244">
                  <c:v>1003.9</c:v>
                </c:pt>
                <c:pt idx="245">
                  <c:v>274.99</c:v>
                </c:pt>
                <c:pt idx="246">
                  <c:v>595</c:v>
                </c:pt>
                <c:pt idx="247">
                  <c:v>698.89</c:v>
                </c:pt>
                <c:pt idx="248">
                  <c:v>981.92</c:v>
                </c:pt>
                <c:pt idx="249">
                  <c:v>1010.69</c:v>
                </c:pt>
                <c:pt idx="250">
                  <c:v>1147.8</c:v>
                </c:pt>
                <c:pt idx="251">
                  <c:v>228.21</c:v>
                </c:pt>
                <c:pt idx="252">
                  <c:v>801.66</c:v>
                </c:pt>
                <c:pt idx="253">
                  <c:v>347.71</c:v>
                </c:pt>
                <c:pt idx="254">
                  <c:v>357.5</c:v>
                </c:pt>
                <c:pt idx="255">
                  <c:v>933.99</c:v>
                </c:pt>
                <c:pt idx="256">
                  <c:v>304.11</c:v>
                </c:pt>
                <c:pt idx="257">
                  <c:v>465.21</c:v>
                </c:pt>
                <c:pt idx="258">
                  <c:v>693.08</c:v>
                </c:pt>
                <c:pt idx="259">
                  <c:v>1045.76</c:v>
                </c:pt>
                <c:pt idx="260">
                  <c:v>1185.28</c:v>
                </c:pt>
                <c:pt idx="261">
                  <c:v>922.04</c:v>
                </c:pt>
                <c:pt idx="262">
                  <c:v>627.61</c:v>
                </c:pt>
                <c:pt idx="263">
                  <c:v>597.47</c:v>
                </c:pt>
                <c:pt idx="264">
                  <c:v>639.74</c:v>
                </c:pt>
                <c:pt idx="265">
                  <c:v>789.73</c:v>
                </c:pt>
                <c:pt idx="266">
                  <c:v>1053.94</c:v>
                </c:pt>
                <c:pt idx="267">
                  <c:v>326.19</c:v>
                </c:pt>
                <c:pt idx="268">
                  <c:v>756.36</c:v>
                </c:pt>
                <c:pt idx="269">
                  <c:v>348.2</c:v>
                </c:pt>
                <c:pt idx="270">
                  <c:v>854.79</c:v>
                </c:pt>
                <c:pt idx="271">
                  <c:v>531.49</c:v>
                </c:pt>
                <c:pt idx="272">
                  <c:v>427.96</c:v>
                </c:pt>
                <c:pt idx="273">
                  <c:v>959.49</c:v>
                </c:pt>
                <c:pt idx="274">
                  <c:v>1075.18</c:v>
                </c:pt>
                <c:pt idx="275">
                  <c:v>323.87</c:v>
                </c:pt>
                <c:pt idx="276">
                  <c:v>888.85</c:v>
                </c:pt>
                <c:pt idx="277">
                  <c:v>713.28</c:v>
                </c:pt>
                <c:pt idx="278">
                  <c:v>576.48</c:v>
                </c:pt>
                <c:pt idx="279">
                  <c:v>793.77</c:v>
                </c:pt>
                <c:pt idx="280">
                  <c:v>717.29</c:v>
                </c:pt>
                <c:pt idx="281">
                  <c:v>618.57000000000005</c:v>
                </c:pt>
                <c:pt idx="282">
                  <c:v>871.87</c:v>
                </c:pt>
                <c:pt idx="283">
                  <c:v>1099.5899999999999</c:v>
                </c:pt>
                <c:pt idx="284">
                  <c:v>834.4</c:v>
                </c:pt>
                <c:pt idx="285">
                  <c:v>400.3</c:v>
                </c:pt>
                <c:pt idx="286">
                  <c:v>258.01</c:v>
                </c:pt>
                <c:pt idx="287">
                  <c:v>677.4</c:v>
                </c:pt>
                <c:pt idx="288">
                  <c:v>1076.99</c:v>
                </c:pt>
                <c:pt idx="289">
                  <c:v>886.78</c:v>
                </c:pt>
                <c:pt idx="290">
                  <c:v>221.91</c:v>
                </c:pt>
                <c:pt idx="291">
                  <c:v>219.74</c:v>
                </c:pt>
                <c:pt idx="292">
                  <c:v>861.66</c:v>
                </c:pt>
                <c:pt idx="293">
                  <c:v>809</c:v>
                </c:pt>
                <c:pt idx="294">
                  <c:v>202.74</c:v>
                </c:pt>
                <c:pt idx="295">
                  <c:v>656.75</c:v>
                </c:pt>
                <c:pt idx="296">
                  <c:v>958.2</c:v>
                </c:pt>
                <c:pt idx="297">
                  <c:v>600.78</c:v>
                </c:pt>
                <c:pt idx="298">
                  <c:v>1111.23</c:v>
                </c:pt>
                <c:pt idx="299">
                  <c:v>688.12</c:v>
                </c:pt>
                <c:pt idx="300">
                  <c:v>869.84</c:v>
                </c:pt>
                <c:pt idx="301">
                  <c:v>1026.44</c:v>
                </c:pt>
                <c:pt idx="302">
                  <c:v>250.35</c:v>
                </c:pt>
                <c:pt idx="303">
                  <c:v>318.70999999999998</c:v>
                </c:pt>
                <c:pt idx="304">
                  <c:v>762.33</c:v>
                </c:pt>
                <c:pt idx="305">
                  <c:v>314.02</c:v>
                </c:pt>
                <c:pt idx="306">
                  <c:v>942.51</c:v>
                </c:pt>
                <c:pt idx="307">
                  <c:v>614.47</c:v>
                </c:pt>
                <c:pt idx="308">
                  <c:v>682.93</c:v>
                </c:pt>
                <c:pt idx="309">
                  <c:v>584.66</c:v>
                </c:pt>
                <c:pt idx="310">
                  <c:v>747.81</c:v>
                </c:pt>
                <c:pt idx="311">
                  <c:v>850.09</c:v>
                </c:pt>
                <c:pt idx="312">
                  <c:v>1093.8699999999999</c:v>
                </c:pt>
                <c:pt idx="313">
                  <c:v>360.94</c:v>
                </c:pt>
                <c:pt idx="314">
                  <c:v>761.27</c:v>
                </c:pt>
                <c:pt idx="315">
                  <c:v>253.8</c:v>
                </c:pt>
                <c:pt idx="316">
                  <c:v>1164.29</c:v>
                </c:pt>
                <c:pt idx="317">
                  <c:v>783.99</c:v>
                </c:pt>
                <c:pt idx="318">
                  <c:v>772.68</c:v>
                </c:pt>
                <c:pt idx="319">
                  <c:v>421.2</c:v>
                </c:pt>
                <c:pt idx="320">
                  <c:v>546.01</c:v>
                </c:pt>
                <c:pt idx="321">
                  <c:v>923.98</c:v>
                </c:pt>
                <c:pt idx="322">
                  <c:v>1148.21</c:v>
                </c:pt>
                <c:pt idx="323">
                  <c:v>405.58</c:v>
                </c:pt>
                <c:pt idx="324">
                  <c:v>774.96</c:v>
                </c:pt>
                <c:pt idx="325">
                  <c:v>818.35</c:v>
                </c:pt>
                <c:pt idx="326">
                  <c:v>1022.12</c:v>
                </c:pt>
                <c:pt idx="327">
                  <c:v>211.15</c:v>
                </c:pt>
                <c:pt idx="328">
                  <c:v>1105.6300000000001</c:v>
                </c:pt>
                <c:pt idx="329">
                  <c:v>1132.3699999999999</c:v>
                </c:pt>
                <c:pt idx="330">
                  <c:v>871.3</c:v>
                </c:pt>
                <c:pt idx="331">
                  <c:v>564.49</c:v>
                </c:pt>
                <c:pt idx="332">
                  <c:v>932.97</c:v>
                </c:pt>
                <c:pt idx="333">
                  <c:v>396.43</c:v>
                </c:pt>
                <c:pt idx="334">
                  <c:v>743.47</c:v>
                </c:pt>
                <c:pt idx="335">
                  <c:v>702.17</c:v>
                </c:pt>
                <c:pt idx="336">
                  <c:v>683.5</c:v>
                </c:pt>
                <c:pt idx="337">
                  <c:v>1117.9000000000001</c:v>
                </c:pt>
                <c:pt idx="338">
                  <c:v>578.52</c:v>
                </c:pt>
                <c:pt idx="339">
                  <c:v>1087.17</c:v>
                </c:pt>
                <c:pt idx="340">
                  <c:v>917.3</c:v>
                </c:pt>
                <c:pt idx="341">
                  <c:v>243.14</c:v>
                </c:pt>
                <c:pt idx="342">
                  <c:v>763.6</c:v>
                </c:pt>
                <c:pt idx="343">
                  <c:v>1020.45</c:v>
                </c:pt>
                <c:pt idx="344">
                  <c:v>308.57</c:v>
                </c:pt>
                <c:pt idx="345">
                  <c:v>731.43</c:v>
                </c:pt>
                <c:pt idx="346">
                  <c:v>628.96</c:v>
                </c:pt>
                <c:pt idx="347">
                  <c:v>1110.0899999999999</c:v>
                </c:pt>
                <c:pt idx="348">
                  <c:v>575.03</c:v>
                </c:pt>
                <c:pt idx="349">
                  <c:v>811.88</c:v>
                </c:pt>
                <c:pt idx="350">
                  <c:v>974.19</c:v>
                </c:pt>
                <c:pt idx="351">
                  <c:v>1164.57</c:v>
                </c:pt>
                <c:pt idx="352">
                  <c:v>1130.68</c:v>
                </c:pt>
                <c:pt idx="353">
                  <c:v>983.96</c:v>
                </c:pt>
                <c:pt idx="354">
                  <c:v>979.67</c:v>
                </c:pt>
                <c:pt idx="355">
                  <c:v>759.11</c:v>
                </c:pt>
                <c:pt idx="356">
                  <c:v>758.63</c:v>
                </c:pt>
                <c:pt idx="357">
                  <c:v>957.47</c:v>
                </c:pt>
                <c:pt idx="358">
                  <c:v>429.93</c:v>
                </c:pt>
                <c:pt idx="359">
                  <c:v>1131.4000000000001</c:v>
                </c:pt>
                <c:pt idx="360">
                  <c:v>406.78</c:v>
                </c:pt>
                <c:pt idx="361">
                  <c:v>964.24</c:v>
                </c:pt>
                <c:pt idx="362">
                  <c:v>950.17</c:v>
                </c:pt>
                <c:pt idx="363">
                  <c:v>320.37</c:v>
                </c:pt>
                <c:pt idx="364">
                  <c:v>462.85</c:v>
                </c:pt>
                <c:pt idx="365">
                  <c:v>379.89</c:v>
                </c:pt>
                <c:pt idx="366">
                  <c:v>938.54</c:v>
                </c:pt>
                <c:pt idx="367">
                  <c:v>1058.5</c:v>
                </c:pt>
                <c:pt idx="368">
                  <c:v>760.35</c:v>
                </c:pt>
                <c:pt idx="369">
                  <c:v>484.61</c:v>
                </c:pt>
                <c:pt idx="370">
                  <c:v>1128.57</c:v>
                </c:pt>
                <c:pt idx="371">
                  <c:v>805.38</c:v>
                </c:pt>
                <c:pt idx="372">
                  <c:v>862.02</c:v>
                </c:pt>
                <c:pt idx="373">
                  <c:v>818.1</c:v>
                </c:pt>
                <c:pt idx="374">
                  <c:v>863.55</c:v>
                </c:pt>
                <c:pt idx="375">
                  <c:v>835.85</c:v>
                </c:pt>
                <c:pt idx="376">
                  <c:v>210.56</c:v>
                </c:pt>
                <c:pt idx="377">
                  <c:v>965.87</c:v>
                </c:pt>
                <c:pt idx="378">
                  <c:v>420.59</c:v>
                </c:pt>
                <c:pt idx="379">
                  <c:v>1053.48</c:v>
                </c:pt>
                <c:pt idx="380">
                  <c:v>734.97</c:v>
                </c:pt>
                <c:pt idx="381">
                  <c:v>620.24</c:v>
                </c:pt>
                <c:pt idx="382">
                  <c:v>1095.7</c:v>
                </c:pt>
                <c:pt idx="383">
                  <c:v>971</c:v>
                </c:pt>
                <c:pt idx="384">
                  <c:v>838.52</c:v>
                </c:pt>
                <c:pt idx="385">
                  <c:v>443.09</c:v>
                </c:pt>
                <c:pt idx="386">
                  <c:v>1196.97</c:v>
                </c:pt>
                <c:pt idx="387">
                  <c:v>638.72</c:v>
                </c:pt>
                <c:pt idx="388">
                  <c:v>386.63</c:v>
                </c:pt>
                <c:pt idx="389">
                  <c:v>654.08000000000004</c:v>
                </c:pt>
                <c:pt idx="390">
                  <c:v>883.22</c:v>
                </c:pt>
                <c:pt idx="391">
                  <c:v>231.27</c:v>
                </c:pt>
                <c:pt idx="392">
                  <c:v>420.72</c:v>
                </c:pt>
                <c:pt idx="393">
                  <c:v>994.25</c:v>
                </c:pt>
                <c:pt idx="394">
                  <c:v>431.02</c:v>
                </c:pt>
                <c:pt idx="395">
                  <c:v>902.55</c:v>
                </c:pt>
                <c:pt idx="396">
                  <c:v>1102.48</c:v>
                </c:pt>
                <c:pt idx="397">
                  <c:v>750.24</c:v>
                </c:pt>
                <c:pt idx="398">
                  <c:v>1184.3900000000001</c:v>
                </c:pt>
                <c:pt idx="399">
                  <c:v>464.99</c:v>
                </c:pt>
                <c:pt idx="400">
                  <c:v>1025.71</c:v>
                </c:pt>
                <c:pt idx="401">
                  <c:v>1017.14</c:v>
                </c:pt>
                <c:pt idx="402">
                  <c:v>519.32000000000005</c:v>
                </c:pt>
                <c:pt idx="403">
                  <c:v>489.78</c:v>
                </c:pt>
                <c:pt idx="404">
                  <c:v>330.38</c:v>
                </c:pt>
                <c:pt idx="405">
                  <c:v>466.26</c:v>
                </c:pt>
                <c:pt idx="406">
                  <c:v>369.26</c:v>
                </c:pt>
                <c:pt idx="407">
                  <c:v>254.54</c:v>
                </c:pt>
                <c:pt idx="408">
                  <c:v>411.88</c:v>
                </c:pt>
                <c:pt idx="409">
                  <c:v>260.11</c:v>
                </c:pt>
                <c:pt idx="410">
                  <c:v>219.08</c:v>
                </c:pt>
                <c:pt idx="411">
                  <c:v>912.47</c:v>
                </c:pt>
                <c:pt idx="412">
                  <c:v>436.2</c:v>
                </c:pt>
                <c:pt idx="413">
                  <c:v>582.21</c:v>
                </c:pt>
                <c:pt idx="414">
                  <c:v>338.58</c:v>
                </c:pt>
                <c:pt idx="415">
                  <c:v>764.84</c:v>
                </c:pt>
                <c:pt idx="416">
                  <c:v>503.35</c:v>
                </c:pt>
                <c:pt idx="417">
                  <c:v>430.91</c:v>
                </c:pt>
                <c:pt idx="418">
                  <c:v>337.51</c:v>
                </c:pt>
                <c:pt idx="419">
                  <c:v>1154.7</c:v>
                </c:pt>
                <c:pt idx="420">
                  <c:v>594.15</c:v>
                </c:pt>
                <c:pt idx="421">
                  <c:v>239.25</c:v>
                </c:pt>
                <c:pt idx="422">
                  <c:v>1103.68</c:v>
                </c:pt>
                <c:pt idx="423">
                  <c:v>523.46</c:v>
                </c:pt>
                <c:pt idx="424">
                  <c:v>323.54000000000002</c:v>
                </c:pt>
                <c:pt idx="425">
                  <c:v>370.88</c:v>
                </c:pt>
                <c:pt idx="426">
                  <c:v>380.7</c:v>
                </c:pt>
                <c:pt idx="427">
                  <c:v>693.47</c:v>
                </c:pt>
                <c:pt idx="428">
                  <c:v>757.55</c:v>
                </c:pt>
                <c:pt idx="429">
                  <c:v>287.7</c:v>
                </c:pt>
                <c:pt idx="430">
                  <c:v>949.33</c:v>
                </c:pt>
                <c:pt idx="431">
                  <c:v>894.62</c:v>
                </c:pt>
                <c:pt idx="432">
                  <c:v>888.65</c:v>
                </c:pt>
                <c:pt idx="433">
                  <c:v>831.86</c:v>
                </c:pt>
                <c:pt idx="434">
                  <c:v>407.33</c:v>
                </c:pt>
                <c:pt idx="435">
                  <c:v>267.83999999999997</c:v>
                </c:pt>
                <c:pt idx="436">
                  <c:v>394.02</c:v>
                </c:pt>
                <c:pt idx="437">
                  <c:v>1014.17</c:v>
                </c:pt>
                <c:pt idx="438">
                  <c:v>1088.03</c:v>
                </c:pt>
                <c:pt idx="439">
                  <c:v>316.83999999999997</c:v>
                </c:pt>
                <c:pt idx="440">
                  <c:v>502.32</c:v>
                </c:pt>
                <c:pt idx="441">
                  <c:v>932.44</c:v>
                </c:pt>
                <c:pt idx="442">
                  <c:v>722.34</c:v>
                </c:pt>
                <c:pt idx="443">
                  <c:v>958.49</c:v>
                </c:pt>
                <c:pt idx="444">
                  <c:v>1158.3</c:v>
                </c:pt>
                <c:pt idx="445">
                  <c:v>511.38</c:v>
                </c:pt>
                <c:pt idx="446">
                  <c:v>796.12</c:v>
                </c:pt>
                <c:pt idx="447">
                  <c:v>955.74</c:v>
                </c:pt>
                <c:pt idx="448">
                  <c:v>343.72</c:v>
                </c:pt>
                <c:pt idx="449">
                  <c:v>678.65</c:v>
                </c:pt>
                <c:pt idx="450">
                  <c:v>270.92</c:v>
                </c:pt>
                <c:pt idx="451">
                  <c:v>1013.92</c:v>
                </c:pt>
                <c:pt idx="452">
                  <c:v>796.08</c:v>
                </c:pt>
                <c:pt idx="453">
                  <c:v>844.99</c:v>
                </c:pt>
                <c:pt idx="454">
                  <c:v>777.93</c:v>
                </c:pt>
                <c:pt idx="455">
                  <c:v>811.49</c:v>
                </c:pt>
                <c:pt idx="456">
                  <c:v>482.21</c:v>
                </c:pt>
                <c:pt idx="457">
                  <c:v>388.23</c:v>
                </c:pt>
                <c:pt idx="458">
                  <c:v>686.7</c:v>
                </c:pt>
                <c:pt idx="459">
                  <c:v>654.39</c:v>
                </c:pt>
                <c:pt idx="460">
                  <c:v>469.25</c:v>
                </c:pt>
                <c:pt idx="461">
                  <c:v>931.29</c:v>
                </c:pt>
                <c:pt idx="462">
                  <c:v>739.2</c:v>
                </c:pt>
                <c:pt idx="463">
                  <c:v>1160.58</c:v>
                </c:pt>
                <c:pt idx="464">
                  <c:v>856.32</c:v>
                </c:pt>
                <c:pt idx="465">
                  <c:v>480.97</c:v>
                </c:pt>
                <c:pt idx="466">
                  <c:v>436.2</c:v>
                </c:pt>
                <c:pt idx="467">
                  <c:v>640.19000000000005</c:v>
                </c:pt>
                <c:pt idx="468">
                  <c:v>1148.25</c:v>
                </c:pt>
                <c:pt idx="469">
                  <c:v>1161.76</c:v>
                </c:pt>
                <c:pt idx="470">
                  <c:v>784.18</c:v>
                </c:pt>
                <c:pt idx="471">
                  <c:v>210.58</c:v>
                </c:pt>
                <c:pt idx="472">
                  <c:v>223.7</c:v>
                </c:pt>
                <c:pt idx="473">
                  <c:v>1099.9000000000001</c:v>
                </c:pt>
                <c:pt idx="474">
                  <c:v>476.38</c:v>
                </c:pt>
                <c:pt idx="475">
                  <c:v>464.66</c:v>
                </c:pt>
                <c:pt idx="476">
                  <c:v>306.25</c:v>
                </c:pt>
                <c:pt idx="477">
                  <c:v>840.34</c:v>
                </c:pt>
                <c:pt idx="478">
                  <c:v>603.91</c:v>
                </c:pt>
                <c:pt idx="479">
                  <c:v>832.27</c:v>
                </c:pt>
                <c:pt idx="480">
                  <c:v>498.87</c:v>
                </c:pt>
                <c:pt idx="481">
                  <c:v>262.99</c:v>
                </c:pt>
                <c:pt idx="482">
                  <c:v>411.68</c:v>
                </c:pt>
                <c:pt idx="483">
                  <c:v>1118.02</c:v>
                </c:pt>
                <c:pt idx="484">
                  <c:v>306.33</c:v>
                </c:pt>
                <c:pt idx="485">
                  <c:v>1164.69</c:v>
                </c:pt>
                <c:pt idx="486">
                  <c:v>1125.68</c:v>
                </c:pt>
                <c:pt idx="487">
                  <c:v>1007.41</c:v>
                </c:pt>
                <c:pt idx="488">
                  <c:v>917.2</c:v>
                </c:pt>
                <c:pt idx="489">
                  <c:v>1062.73</c:v>
                </c:pt>
                <c:pt idx="490">
                  <c:v>359.76</c:v>
                </c:pt>
                <c:pt idx="491">
                  <c:v>252.46</c:v>
                </c:pt>
                <c:pt idx="492">
                  <c:v>876.85</c:v>
                </c:pt>
                <c:pt idx="493">
                  <c:v>785.09</c:v>
                </c:pt>
                <c:pt idx="494">
                  <c:v>402.21</c:v>
                </c:pt>
                <c:pt idx="495">
                  <c:v>803.64</c:v>
                </c:pt>
                <c:pt idx="496">
                  <c:v>479.17</c:v>
                </c:pt>
                <c:pt idx="497">
                  <c:v>244.22</c:v>
                </c:pt>
                <c:pt idx="498">
                  <c:v>953.08</c:v>
                </c:pt>
                <c:pt idx="499">
                  <c:v>947.29</c:v>
                </c:pt>
              </c:numCache>
            </c:numRef>
          </c:yVal>
          <c:smooth val="0"/>
          <c:extLst>
            <c:ext xmlns:c16="http://schemas.microsoft.com/office/drawing/2014/chart" uri="{C3380CC4-5D6E-409C-BE32-E72D297353CC}">
              <c16:uniqueId val="{00000000-053D-4AB3-8F6E-FF7B42F0F79B}"/>
            </c:ext>
          </c:extLst>
        </c:ser>
        <c:dLbls>
          <c:showLegendKey val="0"/>
          <c:showVal val="0"/>
          <c:showCatName val="0"/>
          <c:showSerName val="0"/>
          <c:showPercent val="0"/>
          <c:showBubbleSize val="0"/>
        </c:dLbls>
        <c:axId val="150893904"/>
        <c:axId val="1658013167"/>
      </c:scatterChart>
      <c:valAx>
        <c:axId val="1508939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Yield(Kg/Ha)</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8013167"/>
        <c:crosses val="autoZero"/>
        <c:crossBetween val="midCat"/>
      </c:valAx>
      <c:valAx>
        <c:axId val="165801316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Rainfall(mm)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8939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[laxman-444.xlsx]Pivot Table 4!PivotTable5</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Production Share: Food vs Cash Crops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6"/>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7"/>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9"/>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10"/>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12"/>
        <c:spPr>
          <a:gradFill rotWithShape="1">
            <a:gsLst>
              <a:gs pos="0">
                <a:schemeClr val="accent5">
                  <a:satMod val="100000"/>
                  <a:lumMod val="100000"/>
                </a:schemeClr>
              </a:gs>
              <a:gs pos="50000">
                <a:schemeClr val="accent5">
                  <a:shade val="99000"/>
                  <a:satMod val="105000"/>
                  <a:lumMod val="100000"/>
                </a:schemeClr>
              </a:gs>
              <a:gs pos="100000">
                <a:schemeClr val="accent5">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s>
    <c:plotArea>
      <c:layout/>
      <c:pieChart>
        <c:varyColors val="1"/>
        <c:ser>
          <c:idx val="0"/>
          <c:order val="0"/>
          <c:tx>
            <c:strRef>
              <c:f>'Pivot Table 4'!$B$3</c:f>
              <c:strCache>
                <c:ptCount val="1"/>
                <c:pt idx="0">
                  <c:v>Total</c:v>
                </c:pt>
              </c:strCache>
            </c:strRef>
          </c:tx>
          <c:dPt>
            <c:idx val="0"/>
            <c:bubble3D val="0"/>
            <c:spPr>
              <a:gradFill rotWithShape="1">
                <a:gsLst>
                  <a:gs pos="0">
                    <a:schemeClr val="accent5">
                      <a:shade val="76000"/>
                      <a:satMod val="100000"/>
                      <a:lumMod val="100000"/>
                    </a:schemeClr>
                  </a:gs>
                  <a:gs pos="50000">
                    <a:schemeClr val="accent5">
                      <a:shade val="76000"/>
                      <a:shade val="99000"/>
                      <a:satMod val="105000"/>
                      <a:lumMod val="100000"/>
                    </a:schemeClr>
                  </a:gs>
                  <a:gs pos="100000">
                    <a:schemeClr val="accent5">
                      <a:shade val="76000"/>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1-AA9F-4FAC-986B-F7FCF2AEE0B6}"/>
              </c:ext>
            </c:extLst>
          </c:dPt>
          <c:dPt>
            <c:idx val="1"/>
            <c:bubble3D val="0"/>
            <c:spPr>
              <a:gradFill rotWithShape="1">
                <a:gsLst>
                  <a:gs pos="0">
                    <a:schemeClr val="accent5">
                      <a:tint val="77000"/>
                      <a:satMod val="100000"/>
                      <a:lumMod val="100000"/>
                    </a:schemeClr>
                  </a:gs>
                  <a:gs pos="50000">
                    <a:schemeClr val="accent5">
                      <a:tint val="77000"/>
                      <a:shade val="99000"/>
                      <a:satMod val="105000"/>
                      <a:lumMod val="100000"/>
                    </a:schemeClr>
                  </a:gs>
                  <a:gs pos="100000">
                    <a:schemeClr val="accent5">
                      <a:tint val="77000"/>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3-AA9F-4FAC-986B-F7FCF2AEE0B6}"/>
              </c:ext>
            </c:extLst>
          </c:dPt>
          <c:cat>
            <c:strRef>
              <c:f>'Pivot Table 4'!$A$4:$A$6</c:f>
              <c:strCache>
                <c:ptCount val="2"/>
                <c:pt idx="0">
                  <c:v>Cash</c:v>
                </c:pt>
                <c:pt idx="1">
                  <c:v>Food</c:v>
                </c:pt>
              </c:strCache>
            </c:strRef>
          </c:cat>
          <c:val>
            <c:numRef>
              <c:f>'Pivot Table 4'!$B$4:$B$6</c:f>
              <c:numCache>
                <c:formatCode>General</c:formatCode>
                <c:ptCount val="2"/>
                <c:pt idx="0">
                  <c:v>4350.7799999999988</c:v>
                </c:pt>
                <c:pt idx="1">
                  <c:v>9328.2400000000016</c:v>
                </c:pt>
              </c:numCache>
            </c:numRef>
          </c:val>
          <c:extLst>
            <c:ext xmlns:c16="http://schemas.microsoft.com/office/drawing/2014/chart" uri="{C3380CC4-5D6E-409C-BE32-E72D297353CC}">
              <c16:uniqueId val="{00000004-AA9F-4FAC-986B-F7FCF2AEE0B6}"/>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sx="102000" sy="102000" algn="tl" rotWithShape="0">
        <a:schemeClr val="tx1">
          <a:lumMod val="50000"/>
          <a:lumOff val="50000"/>
          <a:alpha val="8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[laxman-444.xlsx]Pivot Table 5!PivotTable6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Yield per Acre by Crop</a:t>
            </a:r>
            <a:endParaRPr lang="en-US"/>
          </a:p>
        </c:rich>
      </c:tx>
      <c:layout>
        <c:manualLayout>
          <c:xMode val="edge"/>
          <c:yMode val="edge"/>
          <c:x val="0.15537818513756058"/>
          <c:y val="9.323989610411577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5'!$C$7</c:f>
              <c:strCache>
                <c:ptCount val="1"/>
                <c:pt idx="0">
                  <c:v>Total</c:v>
                </c:pt>
              </c:strCache>
            </c:strRef>
          </c:tx>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5'!$B$8:$B$14</c:f>
              <c:strCache>
                <c:ptCount val="6"/>
                <c:pt idx="0">
                  <c:v>Cotton</c:v>
                </c:pt>
                <c:pt idx="1">
                  <c:v>Maize</c:v>
                </c:pt>
                <c:pt idx="2">
                  <c:v>Pulses</c:v>
                </c:pt>
                <c:pt idx="3">
                  <c:v>Rice</c:v>
                </c:pt>
                <c:pt idx="4">
                  <c:v>Sugarcane</c:v>
                </c:pt>
                <c:pt idx="5">
                  <c:v>Wheat</c:v>
                </c:pt>
              </c:strCache>
            </c:strRef>
          </c:cat>
          <c:val>
            <c:numRef>
              <c:f>'Pivot Table 5'!$C$8:$C$14</c:f>
              <c:numCache>
                <c:formatCode>General</c:formatCode>
                <c:ptCount val="6"/>
                <c:pt idx="0">
                  <c:v>1430.4499436811611</c:v>
                </c:pt>
                <c:pt idx="1">
                  <c:v>1594.5295409733603</c:v>
                </c:pt>
                <c:pt idx="2">
                  <c:v>1374.7057593600559</c:v>
                </c:pt>
                <c:pt idx="3">
                  <c:v>1457.5491888375075</c:v>
                </c:pt>
                <c:pt idx="4">
                  <c:v>1560.853031040627</c:v>
                </c:pt>
                <c:pt idx="5">
                  <c:v>1539.8153474376136</c:v>
                </c:pt>
              </c:numCache>
            </c:numRef>
          </c:val>
          <c:extLst>
            <c:ext xmlns:c16="http://schemas.microsoft.com/office/drawing/2014/chart" uri="{C3380CC4-5D6E-409C-BE32-E72D297353CC}">
              <c16:uniqueId val="{00000000-BCA8-407B-BF86-BC6E6CE34B24}"/>
            </c:ext>
          </c:extLst>
        </c:ser>
        <c:dLbls>
          <c:dLblPos val="inEnd"/>
          <c:showLegendKey val="0"/>
          <c:showVal val="1"/>
          <c:showCatName val="0"/>
          <c:showSerName val="0"/>
          <c:showPercent val="0"/>
          <c:showBubbleSize val="0"/>
        </c:dLbls>
        <c:gapWidth val="115"/>
        <c:overlap val="-20"/>
        <c:axId val="159215872"/>
        <c:axId val="1658047247"/>
      </c:barChart>
      <c:catAx>
        <c:axId val="1592158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047247"/>
        <c:crosses val="autoZero"/>
        <c:auto val="1"/>
        <c:lblAlgn val="ctr"/>
        <c:lblOffset val="100"/>
        <c:noMultiLvlLbl val="0"/>
      </c:catAx>
      <c:valAx>
        <c:axId val="165804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21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[laxman-444.xlsx]Pivot Table 6!PivotTable7</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Avg Yield per Acre by Fertilizer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w="9525" cap="flat" cmpd="sng" algn="ctr">
            <a:solidFill>
              <a:schemeClr val="accent3">
                <a:lumMod val="40000"/>
                <a:lumOff val="6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w="9525" cap="flat" cmpd="sng" algn="ctr">
            <a:solidFill>
              <a:schemeClr val="accent3">
                <a:lumMod val="40000"/>
                <a:lumOff val="6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w="9525" cap="flat" cmpd="sng" algn="ctr">
            <a:solidFill>
              <a:schemeClr val="accent3">
                <a:lumMod val="40000"/>
                <a:lumOff val="6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26018739437946553"/>
          <c:w val="0.76112270341207344"/>
          <c:h val="0.54318215959972005"/>
        </c:manualLayout>
      </c:layout>
      <c:barChart>
        <c:barDir val="col"/>
        <c:grouping val="clustered"/>
        <c:varyColors val="0"/>
        <c:ser>
          <c:idx val="0"/>
          <c:order val="0"/>
          <c:tx>
            <c:strRef>
              <c:f>'Pivot Table 6'!$D$10</c:f>
              <c:strCache>
                <c:ptCount val="1"/>
                <c:pt idx="0">
                  <c:v>Total</c:v>
                </c:pt>
              </c:strCache>
            </c:strRef>
          </c:tx>
          <c:spPr>
            <a:solidFill>
              <a:srgbClr val="92D050"/>
            </a:solidFill>
            <a:ln w="9525" cap="flat" cmpd="sng" algn="ctr">
              <a:solidFill>
                <a:schemeClr val="accent3">
                  <a:lumMod val="40000"/>
                  <a:lumOff val="60000"/>
                </a:schemeClr>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6'!$C$11:$C$16</c:f>
              <c:strCache>
                <c:ptCount val="5"/>
                <c:pt idx="0">
                  <c:v>Compost</c:v>
                </c:pt>
                <c:pt idx="1">
                  <c:v>Dap</c:v>
                </c:pt>
                <c:pt idx="2">
                  <c:v>Npk</c:v>
                </c:pt>
                <c:pt idx="3">
                  <c:v>Urea</c:v>
                </c:pt>
                <c:pt idx="4">
                  <c:v>Vermicompost</c:v>
                </c:pt>
              </c:strCache>
            </c:strRef>
          </c:cat>
          <c:val>
            <c:numRef>
              <c:f>'Pivot Table 6'!$D$11:$D$16</c:f>
              <c:numCache>
                <c:formatCode>General</c:formatCode>
                <c:ptCount val="5"/>
                <c:pt idx="0">
                  <c:v>1470.874954191763</c:v>
                </c:pt>
                <c:pt idx="1">
                  <c:v>1578.7054086319579</c:v>
                </c:pt>
                <c:pt idx="2">
                  <c:v>1548.3719938425431</c:v>
                </c:pt>
                <c:pt idx="3">
                  <c:v>1545.5437297235319</c:v>
                </c:pt>
                <c:pt idx="4">
                  <c:v>1322.5794702656765</c:v>
                </c:pt>
              </c:numCache>
            </c:numRef>
          </c:val>
          <c:extLst>
            <c:ext xmlns:c16="http://schemas.microsoft.com/office/drawing/2014/chart" uri="{C3380CC4-5D6E-409C-BE32-E72D297353CC}">
              <c16:uniqueId val="{00000000-D85F-4185-894F-4C6A3EB4FBC5}"/>
            </c:ext>
          </c:extLst>
        </c:ser>
        <c:dLbls>
          <c:dLblPos val="outEnd"/>
          <c:showLegendKey val="0"/>
          <c:showVal val="1"/>
          <c:showCatName val="0"/>
          <c:showSerName val="0"/>
          <c:showPercent val="0"/>
          <c:showBubbleSize val="0"/>
        </c:dLbls>
        <c:gapWidth val="315"/>
        <c:overlap val="-40"/>
        <c:axId val="159257168"/>
        <c:axId val="1658051087"/>
      </c:barChart>
      <c:catAx>
        <c:axId val="159257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8051087"/>
        <c:crosses val="autoZero"/>
        <c:auto val="1"/>
        <c:lblAlgn val="ctr"/>
        <c:lblOffset val="100"/>
        <c:noMultiLvlLbl val="0"/>
      </c:catAx>
      <c:valAx>
        <c:axId val="165805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25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[laxman-444.xlsx]Pivot Table 8!PivotTable8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Area</a:t>
            </a:r>
            <a:r>
              <a:rPr lang="en-US" baseline="0"/>
              <a:t> by Irrigation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8'!$E$10</c:f>
              <c:strCache>
                <c:ptCount val="1"/>
                <c:pt idx="0">
                  <c:v>Total</c:v>
                </c:pt>
              </c:strCache>
            </c:strRef>
          </c:tx>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8'!$D$11:$D$15</c:f>
              <c:strCache>
                <c:ptCount val="4"/>
                <c:pt idx="0">
                  <c:v>Borewell</c:v>
                </c:pt>
                <c:pt idx="1">
                  <c:v>Canal</c:v>
                </c:pt>
                <c:pt idx="2">
                  <c:v>Drip</c:v>
                </c:pt>
                <c:pt idx="3">
                  <c:v>Rainfed</c:v>
                </c:pt>
              </c:strCache>
            </c:strRef>
          </c:cat>
          <c:val>
            <c:numRef>
              <c:f>'Pivot Table 8'!$E$11:$E$15</c:f>
              <c:numCache>
                <c:formatCode>General</c:formatCode>
                <c:ptCount val="4"/>
                <c:pt idx="0">
                  <c:v>1003.4899999999999</c:v>
                </c:pt>
                <c:pt idx="1">
                  <c:v>893.28000000000009</c:v>
                </c:pt>
                <c:pt idx="2">
                  <c:v>1010.6299999999999</c:v>
                </c:pt>
                <c:pt idx="3">
                  <c:v>667.2</c:v>
                </c:pt>
              </c:numCache>
            </c:numRef>
          </c:val>
          <c:extLst>
            <c:ext xmlns:c16="http://schemas.microsoft.com/office/drawing/2014/chart" uri="{C3380CC4-5D6E-409C-BE32-E72D297353CC}">
              <c16:uniqueId val="{00000000-7D21-47F7-A531-955A7E60B5D7}"/>
            </c:ext>
          </c:extLst>
        </c:ser>
        <c:dLbls>
          <c:dLblPos val="inEnd"/>
          <c:showLegendKey val="0"/>
          <c:showVal val="1"/>
          <c:showCatName val="0"/>
          <c:showSerName val="0"/>
          <c:showPercent val="0"/>
          <c:showBubbleSize val="0"/>
        </c:dLbls>
        <c:gapWidth val="100"/>
        <c:overlap val="-24"/>
        <c:axId val="773688480"/>
        <c:axId val="1536473295"/>
      </c:barChart>
      <c:catAx>
        <c:axId val="773688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6473295"/>
        <c:crosses val="autoZero"/>
        <c:auto val="1"/>
        <c:lblAlgn val="ctr"/>
        <c:lblOffset val="100"/>
        <c:noMultiLvlLbl val="0"/>
      </c:catAx>
      <c:valAx>
        <c:axId val="1536473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36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[laxman-444.xlsx]Pivot Table 9!PivotTable9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Avg Fertilizer Used by District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147607356586224"/>
          <c:y val="0.28258288214682309"/>
          <c:w val="0.49366532812738817"/>
          <c:h val="0.63430554197041444"/>
        </c:manualLayout>
      </c:layout>
      <c:barChart>
        <c:barDir val="bar"/>
        <c:grouping val="clustered"/>
        <c:varyColors val="0"/>
        <c:ser>
          <c:idx val="0"/>
          <c:order val="0"/>
          <c:tx>
            <c:strRef>
              <c:f>'Pivot Table 9'!$E$10</c:f>
              <c:strCache>
                <c:ptCount val="1"/>
                <c:pt idx="0">
                  <c:v>Total</c:v>
                </c:pt>
              </c:strCache>
            </c:strRef>
          </c:tx>
          <c:spPr>
            <a:solidFill>
              <a:srgbClr val="92D050"/>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cat>
            <c:strRef>
              <c:f>'Pivot Table 9'!$D$11:$D$14</c:f>
              <c:strCache>
                <c:ptCount val="3"/>
                <c:pt idx="0">
                  <c:v>Patiala</c:v>
                </c:pt>
                <c:pt idx="1">
                  <c:v>Amritsar</c:v>
                </c:pt>
                <c:pt idx="2">
                  <c:v>Ludhiana</c:v>
                </c:pt>
              </c:strCache>
            </c:strRef>
          </c:cat>
          <c:val>
            <c:numRef>
              <c:f>'Pivot Table 9'!$E$11:$E$14</c:f>
              <c:numCache>
                <c:formatCode>General</c:formatCode>
                <c:ptCount val="3"/>
                <c:pt idx="0">
                  <c:v>168.22391304347826</c:v>
                </c:pt>
                <c:pt idx="1">
                  <c:v>165.86000000000004</c:v>
                </c:pt>
                <c:pt idx="2">
                  <c:v>159.40380952380951</c:v>
                </c:pt>
              </c:numCache>
            </c:numRef>
          </c:val>
          <c:extLst>
            <c:ext xmlns:c16="http://schemas.microsoft.com/office/drawing/2014/chart" uri="{C3380CC4-5D6E-409C-BE32-E72D297353CC}">
              <c16:uniqueId val="{00000000-5B1F-4859-8200-96306C94B5AC}"/>
            </c:ext>
          </c:extLst>
        </c:ser>
        <c:dLbls>
          <c:dLblPos val="outEnd"/>
          <c:showLegendKey val="0"/>
          <c:showVal val="0"/>
          <c:showCatName val="0"/>
          <c:showSerName val="0"/>
          <c:showPercent val="0"/>
          <c:showBubbleSize val="0"/>
        </c:dLbls>
        <c:gapWidth val="115"/>
        <c:overlap val="-20"/>
        <c:axId val="773749264"/>
        <c:axId val="1070169648"/>
      </c:barChart>
      <c:catAx>
        <c:axId val="7737492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0169648"/>
        <c:crosses val="autoZero"/>
        <c:auto val="1"/>
        <c:lblAlgn val="ctr"/>
        <c:lblOffset val="100"/>
        <c:noMultiLvlLbl val="0"/>
      </c:catAx>
      <c:valAx>
        <c:axId val="1070169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374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sx="102000" sy="102000" algn="tl" rotWithShape="0">
        <a:schemeClr val="tx1">
          <a:lumMod val="50000"/>
          <a:lumOff val="50000"/>
          <a:alpha val="8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[laxman-444.xlsx]Pivot Table 9!PivotTable9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9'!$E$10</c:f>
              <c:strCache>
                <c:ptCount val="1"/>
                <c:pt idx="0">
                  <c:v>Total</c:v>
                </c:pt>
              </c:strCache>
            </c:strRef>
          </c:tx>
          <c:spPr>
            <a:solidFill>
              <a:schemeClr val="accent1"/>
            </a:solidFill>
            <a:ln>
              <a:noFill/>
            </a:ln>
            <a:effectLst/>
          </c:spPr>
          <c:invertIfNegative val="0"/>
          <c:cat>
            <c:strRef>
              <c:f>'Pivot Table 9'!$D$11:$D$14</c:f>
              <c:strCache>
                <c:ptCount val="3"/>
                <c:pt idx="0">
                  <c:v>Patiala</c:v>
                </c:pt>
                <c:pt idx="1">
                  <c:v>Amritsar</c:v>
                </c:pt>
                <c:pt idx="2">
                  <c:v>Ludhiana</c:v>
                </c:pt>
              </c:strCache>
            </c:strRef>
          </c:cat>
          <c:val>
            <c:numRef>
              <c:f>'Pivot Table 9'!$E$11:$E$14</c:f>
              <c:numCache>
                <c:formatCode>General</c:formatCode>
                <c:ptCount val="3"/>
                <c:pt idx="0">
                  <c:v>168.22391304347826</c:v>
                </c:pt>
                <c:pt idx="1">
                  <c:v>165.86000000000004</c:v>
                </c:pt>
                <c:pt idx="2">
                  <c:v>159.40380952380951</c:v>
                </c:pt>
              </c:numCache>
            </c:numRef>
          </c:val>
          <c:extLst>
            <c:ext xmlns:c16="http://schemas.microsoft.com/office/drawing/2014/chart" uri="{C3380CC4-5D6E-409C-BE32-E72D297353CC}">
              <c16:uniqueId val="{00000000-4575-49B7-8D4C-096366B3B8EA}"/>
            </c:ext>
          </c:extLst>
        </c:ser>
        <c:dLbls>
          <c:showLegendKey val="0"/>
          <c:showVal val="0"/>
          <c:showCatName val="0"/>
          <c:showSerName val="0"/>
          <c:showPercent val="0"/>
          <c:showBubbleSize val="0"/>
        </c:dLbls>
        <c:gapWidth val="182"/>
        <c:axId val="773749264"/>
        <c:axId val="1070169648"/>
      </c:barChart>
      <c:catAx>
        <c:axId val="77374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169648"/>
        <c:crosses val="autoZero"/>
        <c:auto val="1"/>
        <c:lblAlgn val="ctr"/>
        <c:lblOffset val="100"/>
        <c:noMultiLvlLbl val="0"/>
      </c:catAx>
      <c:valAx>
        <c:axId val="1070169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74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[laxman-444.xlsx]Pivot Table 4!PivotTable5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E9-41A0-BE8E-CFBDE7A2A3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E9-41A0-BE8E-CFBDE7A2A3CE}"/>
              </c:ext>
            </c:extLst>
          </c:dPt>
          <c:cat>
            <c:strRef>
              <c:f>'Pivot Table 4'!$A$4:$A$6</c:f>
              <c:strCache>
                <c:ptCount val="2"/>
                <c:pt idx="0">
                  <c:v>Cash</c:v>
                </c:pt>
                <c:pt idx="1">
                  <c:v>Food</c:v>
                </c:pt>
              </c:strCache>
            </c:strRef>
          </c:cat>
          <c:val>
            <c:numRef>
              <c:f>'Pivot Table 4'!$B$4:$B$6</c:f>
              <c:numCache>
                <c:formatCode>General</c:formatCode>
                <c:ptCount val="2"/>
                <c:pt idx="0">
                  <c:v>4350.7799999999988</c:v>
                </c:pt>
                <c:pt idx="1">
                  <c:v>9328.2400000000016</c:v>
                </c:pt>
              </c:numCache>
            </c:numRef>
          </c:val>
          <c:extLst>
            <c:ext xmlns:c16="http://schemas.microsoft.com/office/drawing/2014/chart" uri="{C3380CC4-5D6E-409C-BE32-E72D297353CC}">
              <c16:uniqueId val="{00000000-E3DE-45D9-AFD8-722A58CBCF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[laxman-444.xlsx]Pivot Table 6!PivotTable7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6'!$D$10</c:f>
              <c:strCache>
                <c:ptCount val="1"/>
                <c:pt idx="0">
                  <c:v>Total</c:v>
                </c:pt>
              </c:strCache>
            </c:strRef>
          </c:tx>
          <c:spPr>
            <a:solidFill>
              <a:schemeClr val="accent1"/>
            </a:solidFill>
            <a:ln>
              <a:noFill/>
            </a:ln>
            <a:effectLst/>
          </c:spPr>
          <c:invertIfNegative val="0"/>
          <c:cat>
            <c:strRef>
              <c:f>'Pivot Table 6'!$C$11:$C$16</c:f>
              <c:strCache>
                <c:ptCount val="5"/>
                <c:pt idx="0">
                  <c:v>Compost</c:v>
                </c:pt>
                <c:pt idx="1">
                  <c:v>Dap</c:v>
                </c:pt>
                <c:pt idx="2">
                  <c:v>Npk</c:v>
                </c:pt>
                <c:pt idx="3">
                  <c:v>Urea</c:v>
                </c:pt>
                <c:pt idx="4">
                  <c:v>Vermicompost</c:v>
                </c:pt>
              </c:strCache>
            </c:strRef>
          </c:cat>
          <c:val>
            <c:numRef>
              <c:f>'Pivot Table 6'!$D$11:$D$16</c:f>
              <c:numCache>
                <c:formatCode>General</c:formatCode>
                <c:ptCount val="5"/>
                <c:pt idx="0">
                  <c:v>1470.874954191763</c:v>
                </c:pt>
                <c:pt idx="1">
                  <c:v>1578.7054086319579</c:v>
                </c:pt>
                <c:pt idx="2">
                  <c:v>1548.3719938425431</c:v>
                </c:pt>
                <c:pt idx="3">
                  <c:v>1545.5437297235319</c:v>
                </c:pt>
                <c:pt idx="4">
                  <c:v>1322.5794702656765</c:v>
                </c:pt>
              </c:numCache>
            </c:numRef>
          </c:val>
          <c:extLst>
            <c:ext xmlns:c16="http://schemas.microsoft.com/office/drawing/2014/chart" uri="{C3380CC4-5D6E-409C-BE32-E72D297353CC}">
              <c16:uniqueId val="{00000000-C23D-4903-ADED-2835151452AC}"/>
            </c:ext>
          </c:extLst>
        </c:ser>
        <c:dLbls>
          <c:showLegendKey val="0"/>
          <c:showVal val="0"/>
          <c:showCatName val="0"/>
          <c:showSerName val="0"/>
          <c:showPercent val="0"/>
          <c:showBubbleSize val="0"/>
        </c:dLbls>
        <c:gapWidth val="219"/>
        <c:overlap val="-27"/>
        <c:axId val="159257168"/>
        <c:axId val="1658051087"/>
      </c:barChart>
      <c:catAx>
        <c:axId val="15925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051087"/>
        <c:crosses val="autoZero"/>
        <c:auto val="1"/>
        <c:lblAlgn val="ctr"/>
        <c:lblOffset val="100"/>
        <c:noMultiLvlLbl val="0"/>
      </c:catAx>
      <c:valAx>
        <c:axId val="165805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5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[laxman-444.xlsx]Pivot Table 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5'!$C$7</c:f>
              <c:strCache>
                <c:ptCount val="1"/>
                <c:pt idx="0">
                  <c:v>Total</c:v>
                </c:pt>
              </c:strCache>
            </c:strRef>
          </c:tx>
          <c:spPr>
            <a:solidFill>
              <a:schemeClr val="accent1"/>
            </a:solidFill>
            <a:ln>
              <a:noFill/>
            </a:ln>
            <a:effectLst/>
          </c:spPr>
          <c:invertIfNegative val="0"/>
          <c:cat>
            <c:strRef>
              <c:f>'Pivot Table 5'!$B$8:$B$14</c:f>
              <c:strCache>
                <c:ptCount val="6"/>
                <c:pt idx="0">
                  <c:v>Cotton</c:v>
                </c:pt>
                <c:pt idx="1">
                  <c:v>Maize</c:v>
                </c:pt>
                <c:pt idx="2">
                  <c:v>Pulses</c:v>
                </c:pt>
                <c:pt idx="3">
                  <c:v>Rice</c:v>
                </c:pt>
                <c:pt idx="4">
                  <c:v>Sugarcane</c:v>
                </c:pt>
                <c:pt idx="5">
                  <c:v>Wheat</c:v>
                </c:pt>
              </c:strCache>
            </c:strRef>
          </c:cat>
          <c:val>
            <c:numRef>
              <c:f>'Pivot Table 5'!$C$8:$C$14</c:f>
              <c:numCache>
                <c:formatCode>General</c:formatCode>
                <c:ptCount val="6"/>
                <c:pt idx="0">
                  <c:v>1430.4499436811611</c:v>
                </c:pt>
                <c:pt idx="1">
                  <c:v>1594.5295409733603</c:v>
                </c:pt>
                <c:pt idx="2">
                  <c:v>1374.7057593600559</c:v>
                </c:pt>
                <c:pt idx="3">
                  <c:v>1457.5491888375075</c:v>
                </c:pt>
                <c:pt idx="4">
                  <c:v>1560.853031040627</c:v>
                </c:pt>
                <c:pt idx="5">
                  <c:v>1539.8153474376136</c:v>
                </c:pt>
              </c:numCache>
            </c:numRef>
          </c:val>
          <c:extLst>
            <c:ext xmlns:c16="http://schemas.microsoft.com/office/drawing/2014/chart" uri="{C3380CC4-5D6E-409C-BE32-E72D297353CC}">
              <c16:uniqueId val="{00000000-B6C0-46E9-AF53-79F0FC3FF11F}"/>
            </c:ext>
          </c:extLst>
        </c:ser>
        <c:dLbls>
          <c:showLegendKey val="0"/>
          <c:showVal val="0"/>
          <c:showCatName val="0"/>
          <c:showSerName val="0"/>
          <c:showPercent val="0"/>
          <c:showBubbleSize val="0"/>
        </c:dLbls>
        <c:gapWidth val="182"/>
        <c:axId val="159215872"/>
        <c:axId val="1658047247"/>
      </c:barChart>
      <c:catAx>
        <c:axId val="15921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047247"/>
        <c:crosses val="autoZero"/>
        <c:auto val="1"/>
        <c:lblAlgn val="ctr"/>
        <c:lblOffset val="100"/>
        <c:noMultiLvlLbl val="0"/>
      </c:catAx>
      <c:valAx>
        <c:axId val="1658047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1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[laxman-444.xlsx]Pivot Table 8!PivotTable8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8'!$E$10</c:f>
              <c:strCache>
                <c:ptCount val="1"/>
                <c:pt idx="0">
                  <c:v>Total</c:v>
                </c:pt>
              </c:strCache>
            </c:strRef>
          </c:tx>
          <c:spPr>
            <a:solidFill>
              <a:schemeClr val="accent1"/>
            </a:solidFill>
            <a:ln>
              <a:noFill/>
            </a:ln>
            <a:effectLst/>
          </c:spPr>
          <c:invertIfNegative val="0"/>
          <c:cat>
            <c:strRef>
              <c:f>'Pivot Table 8'!$D$11:$D$15</c:f>
              <c:strCache>
                <c:ptCount val="4"/>
                <c:pt idx="0">
                  <c:v>Borewell</c:v>
                </c:pt>
                <c:pt idx="1">
                  <c:v>Canal</c:v>
                </c:pt>
                <c:pt idx="2">
                  <c:v>Drip</c:v>
                </c:pt>
                <c:pt idx="3">
                  <c:v>Rainfed</c:v>
                </c:pt>
              </c:strCache>
            </c:strRef>
          </c:cat>
          <c:val>
            <c:numRef>
              <c:f>'Pivot Table 8'!$E$11:$E$15</c:f>
              <c:numCache>
                <c:formatCode>General</c:formatCode>
                <c:ptCount val="4"/>
                <c:pt idx="0">
                  <c:v>1003.4899999999999</c:v>
                </c:pt>
                <c:pt idx="1">
                  <c:v>893.28000000000009</c:v>
                </c:pt>
                <c:pt idx="2">
                  <c:v>1010.6299999999999</c:v>
                </c:pt>
                <c:pt idx="3">
                  <c:v>667.2</c:v>
                </c:pt>
              </c:numCache>
            </c:numRef>
          </c:val>
          <c:extLst>
            <c:ext xmlns:c16="http://schemas.microsoft.com/office/drawing/2014/chart" uri="{C3380CC4-5D6E-409C-BE32-E72D297353CC}">
              <c16:uniqueId val="{00000000-5620-4035-9FF6-BDE3A34053D7}"/>
            </c:ext>
          </c:extLst>
        </c:ser>
        <c:dLbls>
          <c:showLegendKey val="0"/>
          <c:showVal val="0"/>
          <c:showCatName val="0"/>
          <c:showSerName val="0"/>
          <c:showPercent val="0"/>
          <c:showBubbleSize val="0"/>
        </c:dLbls>
        <c:gapWidth val="219"/>
        <c:overlap val="-27"/>
        <c:axId val="773688480"/>
        <c:axId val="1536473295"/>
      </c:barChart>
      <c:catAx>
        <c:axId val="77368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473295"/>
        <c:crosses val="autoZero"/>
        <c:auto val="1"/>
        <c:lblAlgn val="ctr"/>
        <c:lblOffset val="100"/>
        <c:noMultiLvlLbl val="0"/>
      </c:catAx>
      <c:valAx>
        <c:axId val="153647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6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3</xdr:col>
      <xdr:colOff>323850</xdr:colOff>
      <xdr:row>1</xdr:row>
      <xdr:rowOff>163830</xdr:rowOff>
    </xdr:from>
    <xdr:to>
      <xdr:col>11</xdr:col>
      <xdr:colOff>19050</xdr:colOff>
      <xdr:row>16</xdr:row>
      <xdr:rowOff>163830</xdr:rowOff>
    </xdr:to>
    <xdr:graphicFrame macro="">
      <xdr:nvGraphicFramePr>
        <xdr:cNvPr id="2" name="Chart 1">
          <a:extLst>
            <a:ext uri="{FF2B5EF4-FFF2-40B4-BE49-F238E27FC236}">
              <a16:creationId xmlns:a16="http://schemas.microsoft.com/office/drawing/2014/main" id="{79FEDEA0-6845-F608-832E-C30F993DB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281126</xdr:colOff>
      <xdr:row>17</xdr:row>
      <xdr:rowOff>167196</xdr:rowOff>
    </xdr:from>
    <xdr:to>
      <xdr:col>11</xdr:col>
      <xdr:colOff>0</xdr:colOff>
      <xdr:row>32</xdr:row>
      <xdr:rowOff>136124</xdr:rowOff>
    </xdr:to>
    <xdr:graphicFrame macro="">
      <xdr:nvGraphicFramePr>
        <xdr:cNvPr id="3" name="Chart 2">
          <a:extLst>
            <a:ext uri="{FF2B5EF4-FFF2-40B4-BE49-F238E27FC236}">
              <a16:creationId xmlns:a16="http://schemas.microsoft.com/office/drawing/2014/main" id="{EAFC5BCF-D2C9-1DFA-F027-E20C026E0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330574</xdr:colOff>
      <xdr:row>36</xdr:row>
      <xdr:rowOff>174813</xdr:rowOff>
    </xdr:from>
    <xdr:to>
      <xdr:col>11</xdr:col>
      <xdr:colOff>61633</xdr:colOff>
      <xdr:row>52</xdr:row>
      <xdr:rowOff>49307</xdr:rowOff>
    </xdr:to>
    <xdr:graphicFrame macro="">
      <xdr:nvGraphicFramePr>
        <xdr:cNvPr id="4" name="Chart 3">
          <a:extLst>
            <a:ext uri="{FF2B5EF4-FFF2-40B4-BE49-F238E27FC236}">
              <a16:creationId xmlns:a16="http://schemas.microsoft.com/office/drawing/2014/main" id="{BCC8874C-EC2A-2805-F211-2C9D967AB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438793</xdr:colOff>
      <xdr:row>21</xdr:row>
      <xdr:rowOff>108193</xdr:rowOff>
    </xdr:from>
    <xdr:to>
      <xdr:col>12</xdr:col>
      <xdr:colOff>495300</xdr:colOff>
      <xdr:row>43</xdr:row>
      <xdr:rowOff>27859</xdr:rowOff>
    </xdr:to>
    <xdr:graphicFrame macro="">
      <xdr:nvGraphicFramePr>
        <xdr:cNvPr id="2" name="Chart 1">
          <a:extLst>
            <a:ext uri="{FF2B5EF4-FFF2-40B4-BE49-F238E27FC236}">
              <a16:creationId xmlns:a16="http://schemas.microsoft.com/office/drawing/2014/main" id="{9EAADB43-4C33-4FBC-86D0-9E44CF9A5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241955</xdr:colOff>
      <xdr:row>44</xdr:row>
      <xdr:rowOff>101966</xdr:rowOff>
    </xdr:from>
    <xdr:to>
      <xdr:col>36</xdr:col>
      <xdr:colOff>55479</xdr:colOff>
      <xdr:row>65</xdr:row>
      <xdr:rowOff>127366</xdr:rowOff>
    </xdr:to>
    <xdr:graphicFrame macro="">
      <xdr:nvGraphicFramePr>
        <xdr:cNvPr id="3" name="Chart 2">
          <a:extLst>
            <a:ext uri="{FF2B5EF4-FFF2-40B4-BE49-F238E27FC236}">
              <a16:creationId xmlns:a16="http://schemas.microsoft.com/office/drawing/2014/main" id="{0171AEA3-0A00-475E-ACB6-FAEE769C1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181150</xdr:colOff>
      <xdr:row>21</xdr:row>
      <xdr:rowOff>123199</xdr:rowOff>
    </xdr:from>
    <xdr:to>
      <xdr:col>23</xdr:col>
      <xdr:colOff>590550</xdr:colOff>
      <xdr:row>43</xdr:row>
      <xdr:rowOff>19050</xdr:rowOff>
    </xdr:to>
    <xdr:graphicFrame macro="">
      <xdr:nvGraphicFramePr>
        <xdr:cNvPr id="4" name="Chart 3">
          <a:extLst>
            <a:ext uri="{FF2B5EF4-FFF2-40B4-BE49-F238E27FC236}">
              <a16:creationId xmlns:a16="http://schemas.microsoft.com/office/drawing/2014/main" id="{548A9522-F90D-4566-A58D-FFDDD0162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496350</xdr:colOff>
      <xdr:row>67</xdr:row>
      <xdr:rowOff>102705</xdr:rowOff>
    </xdr:from>
    <xdr:to>
      <xdr:col>12</xdr:col>
      <xdr:colOff>537883</xdr:colOff>
      <xdr:row>89</xdr:row>
      <xdr:rowOff>70620</xdr:rowOff>
    </xdr:to>
    <xdr:graphicFrame macro="">
      <xdr:nvGraphicFramePr>
        <xdr:cNvPr id="5" name="Chart 4">
          <a:extLst>
            <a:ext uri="{FF2B5EF4-FFF2-40B4-BE49-F238E27FC236}">
              <a16:creationId xmlns:a16="http://schemas.microsoft.com/office/drawing/2014/main" id="{57000BAE-6519-44A6-8D0F-1D7C11FE4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288674</xdr:colOff>
      <xdr:row>21</xdr:row>
      <xdr:rowOff>34584</xdr:rowOff>
    </xdr:from>
    <xdr:to>
      <xdr:col>36</xdr:col>
      <xdr:colOff>69849</xdr:colOff>
      <xdr:row>42</xdr:row>
      <xdr:rowOff>119831</xdr:rowOff>
    </xdr:to>
    <xdr:graphicFrame macro="">
      <xdr:nvGraphicFramePr>
        <xdr:cNvPr id="6" name="Chart 5">
          <a:extLst>
            <a:ext uri="{FF2B5EF4-FFF2-40B4-BE49-F238E27FC236}">
              <a16:creationId xmlns:a16="http://schemas.microsoft.com/office/drawing/2014/main" id="{14BEE085-7D15-41FD-B656-E85DB47EC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499753</xdr:colOff>
      <xdr:row>44</xdr:row>
      <xdr:rowOff>138520</xdr:rowOff>
    </xdr:from>
    <xdr:to>
      <xdr:col>12</xdr:col>
      <xdr:colOff>515471</xdr:colOff>
      <xdr:row>66</xdr:row>
      <xdr:rowOff>90536</xdr:rowOff>
    </xdr:to>
    <xdr:graphicFrame macro="">
      <xdr:nvGraphicFramePr>
        <xdr:cNvPr id="7" name="Chart 6">
          <a:extLst>
            <a:ext uri="{FF2B5EF4-FFF2-40B4-BE49-F238E27FC236}">
              <a16:creationId xmlns:a16="http://schemas.microsoft.com/office/drawing/2014/main" id="{FA0EFF80-9ACA-4960-B8D6-E34E1C2A1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111964</xdr:colOff>
      <xdr:row>44</xdr:row>
      <xdr:rowOff>19444</xdr:rowOff>
    </xdr:from>
    <xdr:to>
      <xdr:col>23</xdr:col>
      <xdr:colOff>535144</xdr:colOff>
      <xdr:row>65</xdr:row>
      <xdr:rowOff>76075</xdr:rowOff>
    </xdr:to>
    <xdr:graphicFrame macro="">
      <xdr:nvGraphicFramePr>
        <xdr:cNvPr id="8" name="Chart 7">
          <a:extLst>
            <a:ext uri="{FF2B5EF4-FFF2-40B4-BE49-F238E27FC236}">
              <a16:creationId xmlns:a16="http://schemas.microsoft.com/office/drawing/2014/main" id="{E8358312-95C1-4002-976B-39C094173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170598</xdr:colOff>
      <xdr:row>67</xdr:row>
      <xdr:rowOff>163286</xdr:rowOff>
    </xdr:from>
    <xdr:to>
      <xdr:col>23</xdr:col>
      <xdr:colOff>587829</xdr:colOff>
      <xdr:row>89</xdr:row>
      <xdr:rowOff>81642</xdr:rowOff>
    </xdr:to>
    <xdr:graphicFrame macro="">
      <xdr:nvGraphicFramePr>
        <xdr:cNvPr id="9" name="Chart 8">
          <a:extLst>
            <a:ext uri="{FF2B5EF4-FFF2-40B4-BE49-F238E27FC236}">
              <a16:creationId xmlns:a16="http://schemas.microsoft.com/office/drawing/2014/main" id="{15CB0BCD-3D36-450C-9C73-CEB0AB131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205239</xdr:colOff>
      <xdr:row>67</xdr:row>
      <xdr:rowOff>147185</xdr:rowOff>
    </xdr:from>
    <xdr:to>
      <xdr:col>36</xdr:col>
      <xdr:colOff>7669</xdr:colOff>
      <xdr:row>89</xdr:row>
      <xdr:rowOff>24650</xdr:rowOff>
    </xdr:to>
    <xdr:graphicFrame macro="">
      <xdr:nvGraphicFramePr>
        <xdr:cNvPr id="10" name="Chart 9">
          <a:extLst>
            <a:ext uri="{FF2B5EF4-FFF2-40B4-BE49-F238E27FC236}">
              <a16:creationId xmlns:a16="http://schemas.microsoft.com/office/drawing/2014/main" id="{A75020E4-0329-460A-B56A-E95900731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499569</xdr:colOff>
      <xdr:row>13</xdr:row>
      <xdr:rowOff>58116</xdr:rowOff>
    </xdr:from>
    <xdr:to>
      <xdr:col>24</xdr:col>
      <xdr:colOff>99359</xdr:colOff>
      <xdr:row>19</xdr:row>
      <xdr:rowOff>109215</xdr:rowOff>
    </xdr:to>
    <xdr:sp macro="" textlink="">
      <xdr:nvSpPr>
        <xdr:cNvPr id="11" name="TextBox 10">
          <a:extLst>
            <a:ext uri="{FF2B5EF4-FFF2-40B4-BE49-F238E27FC236}">
              <a16:creationId xmlns:a16="http://schemas.microsoft.com/office/drawing/2014/main" id="{73102798-5B77-E942-864B-CC98440B5341}"/>
            </a:ext>
          </a:extLst>
        </xdr:cNvPr>
        <xdr:cNvSpPr txBox="1"/>
      </xdr:nvSpPr>
      <xdr:spPr>
        <a:xfrm>
          <a:off x="16591216" y="2388940"/>
          <a:ext cx="3633908" cy="1126863"/>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lang="en-IN" sz="2800" b="1">
              <a:solidFill>
                <a:schemeClr val="tx1"/>
              </a:solidFill>
            </a:rPr>
            <a:t>Total</a:t>
          </a:r>
          <a:r>
            <a:rPr lang="en-IN" sz="2800" b="1" baseline="0">
              <a:solidFill>
                <a:schemeClr val="tx1"/>
              </a:solidFill>
            </a:rPr>
            <a:t> Production</a:t>
          </a:r>
        </a:p>
        <a:p>
          <a:pPr algn="ctr"/>
          <a:r>
            <a:rPr lang="en-IN" sz="2800" b="1" baseline="0">
              <a:solidFill>
                <a:schemeClr val="tx1"/>
              </a:solidFill>
            </a:rPr>
            <a:t>98359</a:t>
          </a:r>
          <a:endParaRPr lang="en-IN" sz="2800" b="1">
            <a:solidFill>
              <a:schemeClr val="tx1"/>
            </a:solidFill>
          </a:endParaRPr>
        </a:p>
      </xdr:txBody>
    </xdr:sp>
    <xdr:clientData/>
  </xdr:twoCellAnchor>
  <xdr:twoCellAnchor>
    <xdr:from>
      <xdr:col>5</xdr:col>
      <xdr:colOff>1314450</xdr:colOff>
      <xdr:row>3</xdr:row>
      <xdr:rowOff>94960</xdr:rowOff>
    </xdr:from>
    <xdr:to>
      <xdr:col>33</xdr:col>
      <xdr:colOff>457200</xdr:colOff>
      <xdr:row>11</xdr:row>
      <xdr:rowOff>132645</xdr:rowOff>
    </xdr:to>
    <xdr:sp macro="" textlink="">
      <xdr:nvSpPr>
        <xdr:cNvPr id="14" name="TextBox 13">
          <a:extLst>
            <a:ext uri="{FF2B5EF4-FFF2-40B4-BE49-F238E27FC236}">
              <a16:creationId xmlns:a16="http://schemas.microsoft.com/office/drawing/2014/main" id="{E2F49F55-6F37-282C-422A-48A5C9310032}"/>
            </a:ext>
          </a:extLst>
        </xdr:cNvPr>
        <xdr:cNvSpPr txBox="1"/>
      </xdr:nvSpPr>
      <xdr:spPr>
        <a:xfrm>
          <a:off x="5829300" y="666460"/>
          <a:ext cx="18345150" cy="156168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600" b="1" i="0">
              <a:solidFill>
                <a:schemeClr val="dk1"/>
              </a:solidFill>
              <a:effectLst/>
              <a:latin typeface="+mn-lt"/>
              <a:ea typeface="+mn-ea"/>
              <a:cs typeface="+mn-cs"/>
            </a:rPr>
            <a:t>Indian Agricultural </a:t>
          </a:r>
          <a:r>
            <a:rPr lang="en-IN" sz="6000" b="1" i="0">
              <a:solidFill>
                <a:schemeClr val="dk1"/>
              </a:solidFill>
              <a:effectLst/>
              <a:latin typeface="+mn-lt"/>
              <a:ea typeface="+mn-ea"/>
              <a:cs typeface="+mn-cs"/>
            </a:rPr>
            <a:t>Crop</a:t>
          </a:r>
          <a:r>
            <a:rPr lang="en-IN" sz="6600" b="1" i="0">
              <a:solidFill>
                <a:schemeClr val="dk1"/>
              </a:solidFill>
              <a:effectLst/>
              <a:latin typeface="+mn-lt"/>
              <a:ea typeface="+mn-ea"/>
              <a:cs typeface="+mn-cs"/>
            </a:rPr>
            <a:t> Yield Analysis</a:t>
          </a:r>
          <a:endParaRPr lang="en-IN" sz="6600" b="1"/>
        </a:p>
      </xdr:txBody>
    </xdr:sp>
    <xdr:clientData/>
  </xdr:twoCellAnchor>
  <xdr:oneCellAnchor>
    <xdr:from>
      <xdr:col>44</xdr:col>
      <xdr:colOff>582478</xdr:colOff>
      <xdr:row>46</xdr:row>
      <xdr:rowOff>86653</xdr:rowOff>
    </xdr:from>
    <xdr:ext cx="3830595" cy="977272"/>
    <xdr:sp macro="" textlink="">
      <xdr:nvSpPr>
        <xdr:cNvPr id="12" name="TextBox 11">
          <a:extLst>
            <a:ext uri="{FF2B5EF4-FFF2-40B4-BE49-F238E27FC236}">
              <a16:creationId xmlns:a16="http://schemas.microsoft.com/office/drawing/2014/main" id="{451F5597-EA70-8995-585F-B42B59AFC26B}"/>
            </a:ext>
          </a:extLst>
        </xdr:cNvPr>
        <xdr:cNvSpPr txBox="1"/>
      </xdr:nvSpPr>
      <xdr:spPr>
        <a:xfrm>
          <a:off x="30760553" y="8684313"/>
          <a:ext cx="3830595" cy="977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IN" sz="2800"/>
        </a:p>
      </xdr:txBody>
    </xdr:sp>
    <xdr:clientData/>
  </xdr:oneCellAnchor>
  <xdr:twoCellAnchor>
    <xdr:from>
      <xdr:col>7</xdr:col>
      <xdr:colOff>573194</xdr:colOff>
      <xdr:row>13</xdr:row>
      <xdr:rowOff>71592</xdr:rowOff>
    </xdr:from>
    <xdr:to>
      <xdr:col>12</xdr:col>
      <xdr:colOff>177800</xdr:colOff>
      <xdr:row>19</xdr:row>
      <xdr:rowOff>129450</xdr:rowOff>
    </xdr:to>
    <xdr:sp macro="" textlink="">
      <xdr:nvSpPr>
        <xdr:cNvPr id="15" name="TextBox 14">
          <a:extLst>
            <a:ext uri="{FF2B5EF4-FFF2-40B4-BE49-F238E27FC236}">
              <a16:creationId xmlns:a16="http://schemas.microsoft.com/office/drawing/2014/main" id="{75903833-E9FE-6214-5F00-841F019CF41F}"/>
            </a:ext>
          </a:extLst>
        </xdr:cNvPr>
        <xdr:cNvSpPr txBox="1"/>
      </xdr:nvSpPr>
      <xdr:spPr>
        <a:xfrm>
          <a:off x="7831244" y="2548092"/>
          <a:ext cx="3262206" cy="1200858"/>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lang="en-IN" sz="2800" b="1" cap="none" spc="0">
              <a:ln>
                <a:noFill/>
              </a:ln>
              <a:solidFill>
                <a:schemeClr val="tx1"/>
              </a:solidFill>
              <a:effectLst/>
            </a:rPr>
            <a:t>Avg Yield</a:t>
          </a:r>
        </a:p>
        <a:p>
          <a:pPr algn="ctr"/>
          <a:r>
            <a:rPr lang="en-IN" sz="2800" b="1" cap="none" spc="0">
              <a:ln>
                <a:noFill/>
              </a:ln>
              <a:solidFill>
                <a:schemeClr val="tx1"/>
              </a:solidFill>
              <a:effectLst/>
            </a:rPr>
            <a:t>1496</a:t>
          </a:r>
        </a:p>
      </xdr:txBody>
    </xdr:sp>
    <xdr:clientData/>
  </xdr:twoCellAnchor>
  <xdr:twoCellAnchor>
    <xdr:from>
      <xdr:col>12</xdr:col>
      <xdr:colOff>600741</xdr:colOff>
      <xdr:row>13</xdr:row>
      <xdr:rowOff>74326</xdr:rowOff>
    </xdr:from>
    <xdr:to>
      <xdr:col>18</xdr:col>
      <xdr:colOff>69077</xdr:colOff>
      <xdr:row>19</xdr:row>
      <xdr:rowOff>114262</xdr:rowOff>
    </xdr:to>
    <xdr:sp macro="" textlink="">
      <xdr:nvSpPr>
        <xdr:cNvPr id="16" name="TextBox 15">
          <a:extLst>
            <a:ext uri="{FF2B5EF4-FFF2-40B4-BE49-F238E27FC236}">
              <a16:creationId xmlns:a16="http://schemas.microsoft.com/office/drawing/2014/main" id="{5DA833B6-49E8-E0DC-8A51-868BA5083D2C}"/>
            </a:ext>
          </a:extLst>
        </xdr:cNvPr>
        <xdr:cNvSpPr txBox="1"/>
      </xdr:nvSpPr>
      <xdr:spPr>
        <a:xfrm>
          <a:off x="11516391" y="2550826"/>
          <a:ext cx="3125936" cy="1182936"/>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lang="en-IN" sz="2400" b="1"/>
            <a:t>Total Area  Cultivated</a:t>
          </a:r>
        </a:p>
        <a:p>
          <a:pPr algn="ctr"/>
          <a:r>
            <a:rPr lang="en-IN" sz="2400" b="1"/>
            <a:t>24847</a:t>
          </a:r>
        </a:p>
      </xdr:txBody>
    </xdr:sp>
    <xdr:clientData/>
  </xdr:twoCellAnchor>
  <xdr:oneCellAnchor>
    <xdr:from>
      <xdr:col>45</xdr:col>
      <xdr:colOff>589472</xdr:colOff>
      <xdr:row>30</xdr:row>
      <xdr:rowOff>71888</xdr:rowOff>
    </xdr:from>
    <xdr:ext cx="3177396" cy="1207697"/>
    <xdr:sp macro="" textlink="">
      <xdr:nvSpPr>
        <xdr:cNvPr id="17" name="TextBox 16">
          <a:extLst>
            <a:ext uri="{FF2B5EF4-FFF2-40B4-BE49-F238E27FC236}">
              <a16:creationId xmlns:a16="http://schemas.microsoft.com/office/drawing/2014/main" id="{AE14D4CD-F324-5770-506D-4EECAB40CDBA}"/>
            </a:ext>
          </a:extLst>
        </xdr:cNvPr>
        <xdr:cNvSpPr txBox="1"/>
      </xdr:nvSpPr>
      <xdr:spPr>
        <a:xfrm>
          <a:off x="31371397" y="5679058"/>
          <a:ext cx="3177396" cy="120769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IN" sz="2800" b="1"/>
        </a:p>
      </xdr:txBody>
    </xdr:sp>
    <xdr:clientData/>
  </xdr:oneCellAnchor>
  <xdr:twoCellAnchor>
    <xdr:from>
      <xdr:col>24</xdr:col>
      <xdr:colOff>537113</xdr:colOff>
      <xdr:row>13</xdr:row>
      <xdr:rowOff>44174</xdr:rowOff>
    </xdr:from>
    <xdr:to>
      <xdr:col>30</xdr:col>
      <xdr:colOff>74375</xdr:colOff>
      <xdr:row>19</xdr:row>
      <xdr:rowOff>121479</xdr:rowOff>
    </xdr:to>
    <xdr:sp macro="" textlink="">
      <xdr:nvSpPr>
        <xdr:cNvPr id="18" name="TextBox 17">
          <a:extLst>
            <a:ext uri="{FF2B5EF4-FFF2-40B4-BE49-F238E27FC236}">
              <a16:creationId xmlns:a16="http://schemas.microsoft.com/office/drawing/2014/main" id="{07DA7A64-66F1-7761-1DF7-0923617CC0CB}"/>
            </a:ext>
          </a:extLst>
        </xdr:cNvPr>
        <xdr:cNvSpPr txBox="1"/>
      </xdr:nvSpPr>
      <xdr:spPr>
        <a:xfrm>
          <a:off x="20691461" y="2341217"/>
          <a:ext cx="3579175" cy="1137479"/>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lang="en-IN" sz="2800" b="1"/>
            <a:t>Avg Rainfall</a:t>
          </a:r>
        </a:p>
        <a:p>
          <a:pPr algn="ctr"/>
          <a:r>
            <a:rPr lang="en-IN" sz="2800" b="1"/>
            <a:t>704</a:t>
          </a:r>
        </a:p>
      </xdr:txBody>
    </xdr:sp>
    <xdr:clientData/>
  </xdr:twoCellAnchor>
  <xdr:twoCellAnchor editAs="oneCell">
    <xdr:from>
      <xdr:col>36</xdr:col>
      <xdr:colOff>494179</xdr:colOff>
      <xdr:row>21</xdr:row>
      <xdr:rowOff>43313</xdr:rowOff>
    </xdr:from>
    <xdr:to>
      <xdr:col>41</xdr:col>
      <xdr:colOff>6723</xdr:colOff>
      <xdr:row>38</xdr:row>
      <xdr:rowOff>41617</xdr:rowOff>
    </xdr:to>
    <mc:AlternateContent xmlns:mc="http://schemas.openxmlformats.org/markup-compatibility/2006" xmlns:a14="http://schemas.microsoft.com/office/drawing/2010/main">
      <mc:Choice Requires="a14">
        <xdr:graphicFrame macro="">
          <xdr:nvGraphicFramePr>
            <xdr:cNvPr id="19" name="State 1">
              <a:extLst>
                <a:ext uri="{FF2B5EF4-FFF2-40B4-BE49-F238E27FC236}">
                  <a16:creationId xmlns:a16="http://schemas.microsoft.com/office/drawing/2014/main" id="{3E3B2E4F-DF8A-412C-B50E-C0410F0F32E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8347284" y="3833260"/>
              <a:ext cx="2821228" cy="3066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557549</xdr:colOff>
      <xdr:row>52</xdr:row>
      <xdr:rowOff>129510</xdr:rowOff>
    </xdr:from>
    <xdr:to>
      <xdr:col>41</xdr:col>
      <xdr:colOff>4426</xdr:colOff>
      <xdr:row>61</xdr:row>
      <xdr:rowOff>76200</xdr:rowOff>
    </xdr:to>
    <mc:AlternateContent xmlns:mc="http://schemas.openxmlformats.org/markup-compatibility/2006" xmlns:a14="http://schemas.microsoft.com/office/drawing/2010/main">
      <mc:Choice Requires="a14">
        <xdr:graphicFrame macro="">
          <xdr:nvGraphicFramePr>
            <xdr:cNvPr id="20" name="Season 1">
              <a:extLst>
                <a:ext uri="{FF2B5EF4-FFF2-40B4-BE49-F238E27FC236}">
                  <a16:creationId xmlns:a16="http://schemas.microsoft.com/office/drawing/2014/main" id="{308B0AA6-D824-4A27-95F5-CC664D62E443}"/>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28410654" y="9514142"/>
              <a:ext cx="2755561" cy="1570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48</xdr:col>
      <xdr:colOff>81642</xdr:colOff>
      <xdr:row>39</xdr:row>
      <xdr:rowOff>27214</xdr:rowOff>
    </xdr:from>
    <xdr:ext cx="184731" cy="265265"/>
    <xdr:sp macro="" textlink="">
      <xdr:nvSpPr>
        <xdr:cNvPr id="21" name="TextBox 20">
          <a:extLst>
            <a:ext uri="{FF2B5EF4-FFF2-40B4-BE49-F238E27FC236}">
              <a16:creationId xmlns:a16="http://schemas.microsoft.com/office/drawing/2014/main" id="{74697635-F8AC-0326-6A4B-EDCAEAFFC794}"/>
            </a:ext>
          </a:extLst>
        </xdr:cNvPr>
        <xdr:cNvSpPr txBox="1"/>
      </xdr:nvSpPr>
      <xdr:spPr>
        <a:xfrm>
          <a:off x="36712071" y="6395357"/>
          <a:ext cx="184731"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36</xdr:col>
      <xdr:colOff>565278</xdr:colOff>
      <xdr:row>38</xdr:row>
      <xdr:rowOff>99670</xdr:rowOff>
    </xdr:from>
    <xdr:to>
      <xdr:col>41</xdr:col>
      <xdr:colOff>1824</xdr:colOff>
      <xdr:row>51</xdr:row>
      <xdr:rowOff>152400</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19385633-7B4A-4FA3-9BD0-AA393EE274C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8418383" y="6957670"/>
              <a:ext cx="2741584" cy="2398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573153</xdr:colOff>
      <xdr:row>63</xdr:row>
      <xdr:rowOff>133350</xdr:rowOff>
    </xdr:from>
    <xdr:to>
      <xdr:col>41</xdr:col>
      <xdr:colOff>8529</xdr:colOff>
      <xdr:row>73</xdr:row>
      <xdr:rowOff>114300</xdr:rowOff>
    </xdr:to>
    <mc:AlternateContent xmlns:mc="http://schemas.openxmlformats.org/markup-compatibility/2006" xmlns:a14="http://schemas.microsoft.com/office/drawing/2010/main">
      <mc:Choice Requires="a14">
        <xdr:graphicFrame macro="">
          <xdr:nvGraphicFramePr>
            <xdr:cNvPr id="23" name="Irrigation Type 1">
              <a:extLst>
                <a:ext uri="{FF2B5EF4-FFF2-40B4-BE49-F238E27FC236}">
                  <a16:creationId xmlns:a16="http://schemas.microsoft.com/office/drawing/2014/main" id="{0B16DA5C-1A6E-4579-A599-52C7027659B5}"/>
                </a:ext>
              </a:extLst>
            </xdr:cNvPr>
            <xdr:cNvGraphicFramePr/>
          </xdr:nvGraphicFramePr>
          <xdr:xfrm>
            <a:off x="0" y="0"/>
            <a:ext cx="0" cy="0"/>
          </xdr:xfrm>
          <a:graphic>
            <a:graphicData uri="http://schemas.microsoft.com/office/drawing/2010/slicer">
              <sle:slicer xmlns:sle="http://schemas.microsoft.com/office/drawing/2010/slicer" name="Irrigation Type 1"/>
            </a:graphicData>
          </a:graphic>
        </xdr:graphicFrame>
      </mc:Choice>
      <mc:Fallback xmlns="">
        <xdr:sp macro="" textlink="">
          <xdr:nvSpPr>
            <xdr:cNvPr id="0" name=""/>
            <xdr:cNvSpPr>
              <a:spLocks noTextEdit="1"/>
            </xdr:cNvSpPr>
          </xdr:nvSpPr>
          <xdr:spPr>
            <a:xfrm>
              <a:off x="28426258" y="11503192"/>
              <a:ext cx="2744060" cy="1785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570514</xdr:colOff>
      <xdr:row>74</xdr:row>
      <xdr:rowOff>114301</xdr:rowOff>
    </xdr:from>
    <xdr:to>
      <xdr:col>40</xdr:col>
      <xdr:colOff>636945</xdr:colOff>
      <xdr:row>87</xdr:row>
      <xdr:rowOff>114300</xdr:rowOff>
    </xdr:to>
    <mc:AlternateContent xmlns:mc="http://schemas.openxmlformats.org/markup-compatibility/2006" xmlns:a14="http://schemas.microsoft.com/office/drawing/2010/main">
      <mc:Choice Requires="a14">
        <xdr:graphicFrame macro="">
          <xdr:nvGraphicFramePr>
            <xdr:cNvPr id="24" name="Crop Name 1">
              <a:extLst>
                <a:ext uri="{FF2B5EF4-FFF2-40B4-BE49-F238E27FC236}">
                  <a16:creationId xmlns:a16="http://schemas.microsoft.com/office/drawing/2014/main" id="{06E8B53A-72F6-4795-802E-E32FB92BAF93}"/>
                </a:ext>
              </a:extLst>
            </xdr:cNvPr>
            <xdr:cNvGraphicFramePr/>
          </xdr:nvGraphicFramePr>
          <xdr:xfrm>
            <a:off x="0" y="0"/>
            <a:ext cx="0" cy="0"/>
          </xdr:xfrm>
          <a:graphic>
            <a:graphicData uri="http://schemas.microsoft.com/office/drawing/2010/slicer">
              <sle:slicer xmlns:sle="http://schemas.microsoft.com/office/drawing/2010/slicer" name="Crop Name 1"/>
            </a:graphicData>
          </a:graphic>
        </xdr:graphicFrame>
      </mc:Choice>
      <mc:Fallback xmlns="">
        <xdr:sp macro="" textlink="">
          <xdr:nvSpPr>
            <xdr:cNvPr id="0" name=""/>
            <xdr:cNvSpPr>
              <a:spLocks noTextEdit="1"/>
            </xdr:cNvSpPr>
          </xdr:nvSpPr>
          <xdr:spPr>
            <a:xfrm>
              <a:off x="28423619" y="13469354"/>
              <a:ext cx="2713379" cy="2346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438793</xdr:colOff>
      <xdr:row>20</xdr:row>
      <xdr:rowOff>108193</xdr:rowOff>
    </xdr:from>
    <xdr:to>
      <xdr:col>9</xdr:col>
      <xdr:colOff>495300</xdr:colOff>
      <xdr:row>42</xdr:row>
      <xdr:rowOff>27859</xdr:rowOff>
    </xdr:to>
    <xdr:graphicFrame macro="">
      <xdr:nvGraphicFramePr>
        <xdr:cNvPr id="5" name="Chart 4">
          <a:extLst>
            <a:ext uri="{FF2B5EF4-FFF2-40B4-BE49-F238E27FC236}">
              <a16:creationId xmlns:a16="http://schemas.microsoft.com/office/drawing/2014/main" id="{B1CCBB92-9230-49C1-A52B-2F1CD23B9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241955</xdr:colOff>
      <xdr:row>43</xdr:row>
      <xdr:rowOff>101966</xdr:rowOff>
    </xdr:from>
    <xdr:to>
      <xdr:col>33</xdr:col>
      <xdr:colOff>55479</xdr:colOff>
      <xdr:row>64</xdr:row>
      <xdr:rowOff>127366</xdr:rowOff>
    </xdr:to>
    <xdr:graphicFrame macro="">
      <xdr:nvGraphicFramePr>
        <xdr:cNvPr id="6" name="Chart 5">
          <a:extLst>
            <a:ext uri="{FF2B5EF4-FFF2-40B4-BE49-F238E27FC236}">
              <a16:creationId xmlns:a16="http://schemas.microsoft.com/office/drawing/2014/main" id="{738513EB-EC6E-4113-99FE-5478D4643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181150</xdr:colOff>
      <xdr:row>20</xdr:row>
      <xdr:rowOff>123199</xdr:rowOff>
    </xdr:from>
    <xdr:to>
      <xdr:col>20</xdr:col>
      <xdr:colOff>590550</xdr:colOff>
      <xdr:row>42</xdr:row>
      <xdr:rowOff>19050</xdr:rowOff>
    </xdr:to>
    <xdr:graphicFrame macro="">
      <xdr:nvGraphicFramePr>
        <xdr:cNvPr id="7" name="Chart 6">
          <a:extLst>
            <a:ext uri="{FF2B5EF4-FFF2-40B4-BE49-F238E27FC236}">
              <a16:creationId xmlns:a16="http://schemas.microsoft.com/office/drawing/2014/main" id="{6AF91EB6-5D73-4FE0-AE7B-3550D9705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496350</xdr:colOff>
      <xdr:row>66</xdr:row>
      <xdr:rowOff>102705</xdr:rowOff>
    </xdr:from>
    <xdr:to>
      <xdr:col>9</xdr:col>
      <xdr:colOff>537883</xdr:colOff>
      <xdr:row>88</xdr:row>
      <xdr:rowOff>70620</xdr:rowOff>
    </xdr:to>
    <xdr:graphicFrame macro="">
      <xdr:nvGraphicFramePr>
        <xdr:cNvPr id="8" name="Chart 7">
          <a:extLst>
            <a:ext uri="{FF2B5EF4-FFF2-40B4-BE49-F238E27FC236}">
              <a16:creationId xmlns:a16="http://schemas.microsoft.com/office/drawing/2014/main" id="{C62B6734-C4D1-4FCA-BBAB-3DBD17CAE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288674</xdr:colOff>
      <xdr:row>20</xdr:row>
      <xdr:rowOff>34584</xdr:rowOff>
    </xdr:from>
    <xdr:to>
      <xdr:col>33</xdr:col>
      <xdr:colOff>69849</xdr:colOff>
      <xdr:row>41</xdr:row>
      <xdr:rowOff>119831</xdr:rowOff>
    </xdr:to>
    <xdr:graphicFrame macro="">
      <xdr:nvGraphicFramePr>
        <xdr:cNvPr id="9" name="Chart 8">
          <a:extLst>
            <a:ext uri="{FF2B5EF4-FFF2-40B4-BE49-F238E27FC236}">
              <a16:creationId xmlns:a16="http://schemas.microsoft.com/office/drawing/2014/main" id="{46C80CBE-8C38-4847-93B6-1D904E006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499753</xdr:colOff>
      <xdr:row>43</xdr:row>
      <xdr:rowOff>138520</xdr:rowOff>
    </xdr:from>
    <xdr:to>
      <xdr:col>9</xdr:col>
      <xdr:colOff>515471</xdr:colOff>
      <xdr:row>65</xdr:row>
      <xdr:rowOff>90536</xdr:rowOff>
    </xdr:to>
    <xdr:graphicFrame macro="">
      <xdr:nvGraphicFramePr>
        <xdr:cNvPr id="10" name="Chart 9">
          <a:extLst>
            <a:ext uri="{FF2B5EF4-FFF2-40B4-BE49-F238E27FC236}">
              <a16:creationId xmlns:a16="http://schemas.microsoft.com/office/drawing/2014/main" id="{C3CB230C-5602-4655-9F12-51C08B025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111964</xdr:colOff>
      <xdr:row>43</xdr:row>
      <xdr:rowOff>19444</xdr:rowOff>
    </xdr:from>
    <xdr:to>
      <xdr:col>20</xdr:col>
      <xdr:colOff>535144</xdr:colOff>
      <xdr:row>64</xdr:row>
      <xdr:rowOff>76075</xdr:rowOff>
    </xdr:to>
    <xdr:graphicFrame macro="">
      <xdr:nvGraphicFramePr>
        <xdr:cNvPr id="11" name="Chart 10">
          <a:extLst>
            <a:ext uri="{FF2B5EF4-FFF2-40B4-BE49-F238E27FC236}">
              <a16:creationId xmlns:a16="http://schemas.microsoft.com/office/drawing/2014/main" id="{0AF5AF10-8D40-4DC2-AE2A-2E204ADE7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170598</xdr:colOff>
      <xdr:row>66</xdr:row>
      <xdr:rowOff>163286</xdr:rowOff>
    </xdr:from>
    <xdr:to>
      <xdr:col>20</xdr:col>
      <xdr:colOff>587829</xdr:colOff>
      <xdr:row>88</xdr:row>
      <xdr:rowOff>81642</xdr:rowOff>
    </xdr:to>
    <xdr:graphicFrame macro="">
      <xdr:nvGraphicFramePr>
        <xdr:cNvPr id="12" name="Chart 11">
          <a:extLst>
            <a:ext uri="{FF2B5EF4-FFF2-40B4-BE49-F238E27FC236}">
              <a16:creationId xmlns:a16="http://schemas.microsoft.com/office/drawing/2014/main" id="{4E2F628D-5062-4121-98A6-5B4096602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205239</xdr:colOff>
      <xdr:row>66</xdr:row>
      <xdr:rowOff>147185</xdr:rowOff>
    </xdr:from>
    <xdr:to>
      <xdr:col>33</xdr:col>
      <xdr:colOff>7669</xdr:colOff>
      <xdr:row>88</xdr:row>
      <xdr:rowOff>24650</xdr:rowOff>
    </xdr:to>
    <xdr:graphicFrame macro="">
      <xdr:nvGraphicFramePr>
        <xdr:cNvPr id="13" name="Chart 12">
          <a:extLst>
            <a:ext uri="{FF2B5EF4-FFF2-40B4-BE49-F238E27FC236}">
              <a16:creationId xmlns:a16="http://schemas.microsoft.com/office/drawing/2014/main" id="{96B04EA8-373B-4814-AA80-2E4608B21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499569</xdr:colOff>
      <xdr:row>12</xdr:row>
      <xdr:rowOff>58116</xdr:rowOff>
    </xdr:from>
    <xdr:to>
      <xdr:col>21</xdr:col>
      <xdr:colOff>99359</xdr:colOff>
      <xdr:row>18</xdr:row>
      <xdr:rowOff>109215</xdr:rowOff>
    </xdr:to>
    <xdr:sp macro="" textlink="">
      <xdr:nvSpPr>
        <xdr:cNvPr id="14" name="TextBox 13">
          <a:extLst>
            <a:ext uri="{FF2B5EF4-FFF2-40B4-BE49-F238E27FC236}">
              <a16:creationId xmlns:a16="http://schemas.microsoft.com/office/drawing/2014/main" id="{A97DA199-06BD-4BA7-9067-1ADFD51FE6F3}"/>
            </a:ext>
          </a:extLst>
        </xdr:cNvPr>
        <xdr:cNvSpPr txBox="1"/>
      </xdr:nvSpPr>
      <xdr:spPr>
        <a:xfrm>
          <a:off x="16570149" y="2336496"/>
          <a:ext cx="3623150" cy="1102659"/>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lang="en-IN" sz="2800" b="1">
              <a:solidFill>
                <a:schemeClr val="tx1"/>
              </a:solidFill>
            </a:rPr>
            <a:t>Total</a:t>
          </a:r>
          <a:r>
            <a:rPr lang="en-IN" sz="2800" b="1" baseline="0">
              <a:solidFill>
                <a:schemeClr val="tx1"/>
              </a:solidFill>
            </a:rPr>
            <a:t> Production</a:t>
          </a:r>
        </a:p>
        <a:p>
          <a:pPr algn="ctr"/>
          <a:r>
            <a:rPr lang="en-IN" sz="2800" b="1" baseline="0">
              <a:solidFill>
                <a:schemeClr val="tx1"/>
              </a:solidFill>
            </a:rPr>
            <a:t>98359</a:t>
          </a:r>
          <a:endParaRPr lang="en-IN" sz="2800" b="1">
            <a:solidFill>
              <a:schemeClr val="tx1"/>
            </a:solidFill>
          </a:endParaRPr>
        </a:p>
      </xdr:txBody>
    </xdr:sp>
    <xdr:clientData/>
  </xdr:twoCellAnchor>
  <xdr:twoCellAnchor>
    <xdr:from>
      <xdr:col>2</xdr:col>
      <xdr:colOff>1314450</xdr:colOff>
      <xdr:row>2</xdr:row>
      <xdr:rowOff>94960</xdr:rowOff>
    </xdr:from>
    <xdr:to>
      <xdr:col>30</xdr:col>
      <xdr:colOff>457200</xdr:colOff>
      <xdr:row>10</xdr:row>
      <xdr:rowOff>132645</xdr:rowOff>
    </xdr:to>
    <xdr:sp macro="" textlink="">
      <xdr:nvSpPr>
        <xdr:cNvPr id="15" name="TextBox 14">
          <a:extLst>
            <a:ext uri="{FF2B5EF4-FFF2-40B4-BE49-F238E27FC236}">
              <a16:creationId xmlns:a16="http://schemas.microsoft.com/office/drawing/2014/main" id="{97373CC7-1C60-4C21-B3A4-415C49B51A4E}"/>
            </a:ext>
          </a:extLst>
        </xdr:cNvPr>
        <xdr:cNvSpPr txBox="1"/>
      </xdr:nvSpPr>
      <xdr:spPr>
        <a:xfrm>
          <a:off x="6297930" y="620740"/>
          <a:ext cx="20288250" cy="143976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600" b="1" i="0">
              <a:solidFill>
                <a:schemeClr val="dk1"/>
              </a:solidFill>
              <a:effectLst/>
              <a:latin typeface="+mn-lt"/>
              <a:ea typeface="+mn-ea"/>
              <a:cs typeface="+mn-cs"/>
            </a:rPr>
            <a:t>Indian Agricultural </a:t>
          </a:r>
          <a:r>
            <a:rPr lang="en-IN" sz="6000" b="1" i="0">
              <a:solidFill>
                <a:schemeClr val="dk1"/>
              </a:solidFill>
              <a:effectLst/>
              <a:latin typeface="+mn-lt"/>
              <a:ea typeface="+mn-ea"/>
              <a:cs typeface="+mn-cs"/>
            </a:rPr>
            <a:t>Crop</a:t>
          </a:r>
          <a:r>
            <a:rPr lang="en-IN" sz="6600" b="1" i="0">
              <a:solidFill>
                <a:schemeClr val="dk1"/>
              </a:solidFill>
              <a:effectLst/>
              <a:latin typeface="+mn-lt"/>
              <a:ea typeface="+mn-ea"/>
              <a:cs typeface="+mn-cs"/>
            </a:rPr>
            <a:t> Yield Analysis</a:t>
          </a:r>
          <a:endParaRPr lang="en-IN" sz="6600" b="1"/>
        </a:p>
      </xdr:txBody>
    </xdr:sp>
    <xdr:clientData/>
  </xdr:twoCellAnchor>
  <xdr:twoCellAnchor>
    <xdr:from>
      <xdr:col>4</xdr:col>
      <xdr:colOff>573194</xdr:colOff>
      <xdr:row>12</xdr:row>
      <xdr:rowOff>71592</xdr:rowOff>
    </xdr:from>
    <xdr:to>
      <xdr:col>9</xdr:col>
      <xdr:colOff>177800</xdr:colOff>
      <xdr:row>18</xdr:row>
      <xdr:rowOff>129450</xdr:rowOff>
    </xdr:to>
    <xdr:sp macro="" textlink="">
      <xdr:nvSpPr>
        <xdr:cNvPr id="16" name="TextBox 15">
          <a:extLst>
            <a:ext uri="{FF2B5EF4-FFF2-40B4-BE49-F238E27FC236}">
              <a16:creationId xmlns:a16="http://schemas.microsoft.com/office/drawing/2014/main" id="{DDBEF19D-1297-4091-B8E9-13B49E4E16C4}"/>
            </a:ext>
          </a:extLst>
        </xdr:cNvPr>
        <xdr:cNvSpPr txBox="1"/>
      </xdr:nvSpPr>
      <xdr:spPr>
        <a:xfrm>
          <a:off x="8589434" y="2349972"/>
          <a:ext cx="3635586" cy="1109418"/>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lang="en-IN" sz="2800" b="1" cap="none" spc="0">
              <a:ln>
                <a:noFill/>
              </a:ln>
              <a:solidFill>
                <a:schemeClr val="tx1"/>
              </a:solidFill>
              <a:effectLst/>
            </a:rPr>
            <a:t>Avg Yield</a:t>
          </a:r>
        </a:p>
        <a:p>
          <a:pPr algn="ctr"/>
          <a:r>
            <a:rPr lang="en-IN" sz="2800" b="1" cap="none" spc="0">
              <a:ln>
                <a:noFill/>
              </a:ln>
              <a:solidFill>
                <a:schemeClr val="tx1"/>
              </a:solidFill>
              <a:effectLst/>
            </a:rPr>
            <a:t>1496</a:t>
          </a:r>
        </a:p>
      </xdr:txBody>
    </xdr:sp>
    <xdr:clientData/>
  </xdr:twoCellAnchor>
  <xdr:twoCellAnchor>
    <xdr:from>
      <xdr:col>9</xdr:col>
      <xdr:colOff>600741</xdr:colOff>
      <xdr:row>12</xdr:row>
      <xdr:rowOff>74326</xdr:rowOff>
    </xdr:from>
    <xdr:to>
      <xdr:col>15</xdr:col>
      <xdr:colOff>69077</xdr:colOff>
      <xdr:row>18</xdr:row>
      <xdr:rowOff>114262</xdr:rowOff>
    </xdr:to>
    <xdr:sp macro="" textlink="">
      <xdr:nvSpPr>
        <xdr:cNvPr id="17" name="TextBox 16">
          <a:extLst>
            <a:ext uri="{FF2B5EF4-FFF2-40B4-BE49-F238E27FC236}">
              <a16:creationId xmlns:a16="http://schemas.microsoft.com/office/drawing/2014/main" id="{468B2C61-8F4A-494B-8253-41CCB54007D6}"/>
            </a:ext>
          </a:extLst>
        </xdr:cNvPr>
        <xdr:cNvSpPr txBox="1"/>
      </xdr:nvSpPr>
      <xdr:spPr>
        <a:xfrm>
          <a:off x="12647961" y="2352706"/>
          <a:ext cx="3491696" cy="1091496"/>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lang="en-IN" sz="2400" b="1"/>
            <a:t>Total Area  Cultivated</a:t>
          </a:r>
        </a:p>
        <a:p>
          <a:pPr algn="ctr"/>
          <a:r>
            <a:rPr lang="en-IN" sz="2400" b="1"/>
            <a:t>24847</a:t>
          </a:r>
        </a:p>
      </xdr:txBody>
    </xdr:sp>
    <xdr:clientData/>
  </xdr:twoCellAnchor>
  <xdr:twoCellAnchor>
    <xdr:from>
      <xdr:col>21</xdr:col>
      <xdr:colOff>537113</xdr:colOff>
      <xdr:row>12</xdr:row>
      <xdr:rowOff>44174</xdr:rowOff>
    </xdr:from>
    <xdr:to>
      <xdr:col>27</xdr:col>
      <xdr:colOff>74375</xdr:colOff>
      <xdr:row>18</xdr:row>
      <xdr:rowOff>121479</xdr:rowOff>
    </xdr:to>
    <xdr:sp macro="" textlink="">
      <xdr:nvSpPr>
        <xdr:cNvPr id="18" name="TextBox 17">
          <a:extLst>
            <a:ext uri="{FF2B5EF4-FFF2-40B4-BE49-F238E27FC236}">
              <a16:creationId xmlns:a16="http://schemas.microsoft.com/office/drawing/2014/main" id="{D7BFEA2C-0D06-4B3E-9116-9E5A6E1A5082}"/>
            </a:ext>
          </a:extLst>
        </xdr:cNvPr>
        <xdr:cNvSpPr txBox="1"/>
      </xdr:nvSpPr>
      <xdr:spPr>
        <a:xfrm>
          <a:off x="20631053" y="2322554"/>
          <a:ext cx="3560622" cy="1128865"/>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lang="en-IN" sz="2800" b="1"/>
            <a:t>Avg Rainfall</a:t>
          </a:r>
        </a:p>
        <a:p>
          <a:pPr algn="ctr"/>
          <a:r>
            <a:rPr lang="en-IN" sz="2800" b="1"/>
            <a:t>704</a:t>
          </a:r>
        </a:p>
      </xdr:txBody>
    </xdr:sp>
    <xdr:clientData/>
  </xdr:twoCellAnchor>
  <xdr:twoCellAnchor editAs="oneCell">
    <xdr:from>
      <xdr:col>33</xdr:col>
      <xdr:colOff>494179</xdr:colOff>
      <xdr:row>20</xdr:row>
      <xdr:rowOff>43313</xdr:rowOff>
    </xdr:from>
    <xdr:to>
      <xdr:col>38</xdr:col>
      <xdr:colOff>6723</xdr:colOff>
      <xdr:row>37</xdr:row>
      <xdr:rowOff>41617</xdr:rowOff>
    </xdr:to>
    <mc:AlternateContent xmlns:mc="http://schemas.openxmlformats.org/markup-compatibility/2006" xmlns:a14="http://schemas.microsoft.com/office/drawing/2010/main">
      <mc:Choice Requires="a14">
        <xdr:graphicFrame macro="">
          <xdr:nvGraphicFramePr>
            <xdr:cNvPr id="19" name="State 2">
              <a:extLst>
                <a:ext uri="{FF2B5EF4-FFF2-40B4-BE49-F238E27FC236}">
                  <a16:creationId xmlns:a16="http://schemas.microsoft.com/office/drawing/2014/main" id="{9DFACA1E-B78F-40F8-9628-0C87550B5303}"/>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22360266" y="3356356"/>
              <a:ext cx="2825587" cy="2814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557549</xdr:colOff>
      <xdr:row>51</xdr:row>
      <xdr:rowOff>129510</xdr:rowOff>
    </xdr:from>
    <xdr:to>
      <xdr:col>38</xdr:col>
      <xdr:colOff>4426</xdr:colOff>
      <xdr:row>60</xdr:row>
      <xdr:rowOff>76200</xdr:rowOff>
    </xdr:to>
    <mc:AlternateContent xmlns:mc="http://schemas.openxmlformats.org/markup-compatibility/2006" xmlns:a14="http://schemas.microsoft.com/office/drawing/2010/main">
      <mc:Choice Requires="a14">
        <xdr:graphicFrame macro="">
          <xdr:nvGraphicFramePr>
            <xdr:cNvPr id="20" name="Season 2">
              <a:extLst>
                <a:ext uri="{FF2B5EF4-FFF2-40B4-BE49-F238E27FC236}">
                  <a16:creationId xmlns:a16="http://schemas.microsoft.com/office/drawing/2014/main" id="{1AD78C61-9DE0-4F7A-8599-1D66E1AC3DDF}"/>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22423636" y="8577771"/>
              <a:ext cx="2759920" cy="1437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565278</xdr:colOff>
      <xdr:row>37</xdr:row>
      <xdr:rowOff>99670</xdr:rowOff>
    </xdr:from>
    <xdr:to>
      <xdr:col>37</xdr:col>
      <xdr:colOff>659914</xdr:colOff>
      <xdr:row>50</xdr:row>
      <xdr:rowOff>152400</xdr:rowOff>
    </xdr:to>
    <mc:AlternateContent xmlns:mc="http://schemas.openxmlformats.org/markup-compatibility/2006" xmlns:a14="http://schemas.microsoft.com/office/drawing/2010/main">
      <mc:Choice Requires="a14">
        <xdr:graphicFrame macro="">
          <xdr:nvGraphicFramePr>
            <xdr:cNvPr id="21" name="Year 2">
              <a:extLst>
                <a:ext uri="{FF2B5EF4-FFF2-40B4-BE49-F238E27FC236}">
                  <a16:creationId xmlns:a16="http://schemas.microsoft.com/office/drawing/2014/main" id="{6E5CFEFF-A6C9-496D-AE4D-E40099F0F7B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2431365" y="6228800"/>
              <a:ext cx="2745071" cy="2206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573153</xdr:colOff>
      <xdr:row>62</xdr:row>
      <xdr:rowOff>133350</xdr:rowOff>
    </xdr:from>
    <xdr:to>
      <xdr:col>38</xdr:col>
      <xdr:colOff>8529</xdr:colOff>
      <xdr:row>72</xdr:row>
      <xdr:rowOff>114300</xdr:rowOff>
    </xdr:to>
    <mc:AlternateContent xmlns:mc="http://schemas.openxmlformats.org/markup-compatibility/2006" xmlns:a14="http://schemas.microsoft.com/office/drawing/2010/main">
      <mc:Choice Requires="a14">
        <xdr:graphicFrame macro="">
          <xdr:nvGraphicFramePr>
            <xdr:cNvPr id="22" name="Irrigation Type 2">
              <a:extLst>
                <a:ext uri="{FF2B5EF4-FFF2-40B4-BE49-F238E27FC236}">
                  <a16:creationId xmlns:a16="http://schemas.microsoft.com/office/drawing/2014/main" id="{A4738A4C-8DBA-4624-9C64-DFDC9F5A6343}"/>
                </a:ext>
              </a:extLst>
            </xdr:cNvPr>
            <xdr:cNvGraphicFramePr/>
          </xdr:nvGraphicFramePr>
          <xdr:xfrm>
            <a:off x="0" y="0"/>
            <a:ext cx="0" cy="0"/>
          </xdr:xfrm>
          <a:graphic>
            <a:graphicData uri="http://schemas.microsoft.com/office/drawing/2010/slicer">
              <sle:slicer xmlns:sle="http://schemas.microsoft.com/office/drawing/2010/slicer" name="Irrigation Type 2"/>
            </a:graphicData>
          </a:graphic>
        </xdr:graphicFrame>
      </mc:Choice>
      <mc:Fallback xmlns="">
        <xdr:sp macro="" textlink="">
          <xdr:nvSpPr>
            <xdr:cNvPr id="0" name=""/>
            <xdr:cNvSpPr>
              <a:spLocks noTextEdit="1"/>
            </xdr:cNvSpPr>
          </xdr:nvSpPr>
          <xdr:spPr>
            <a:xfrm>
              <a:off x="22439240" y="10403785"/>
              <a:ext cx="2748419" cy="1637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570514</xdr:colOff>
      <xdr:row>73</xdr:row>
      <xdr:rowOff>114301</xdr:rowOff>
    </xdr:from>
    <xdr:to>
      <xdr:col>37</xdr:col>
      <xdr:colOff>636945</xdr:colOff>
      <xdr:row>86</xdr:row>
      <xdr:rowOff>114300</xdr:rowOff>
    </xdr:to>
    <mc:AlternateContent xmlns:mc="http://schemas.openxmlformats.org/markup-compatibility/2006" xmlns:a14="http://schemas.microsoft.com/office/drawing/2010/main">
      <mc:Choice Requires="a14">
        <xdr:graphicFrame macro="">
          <xdr:nvGraphicFramePr>
            <xdr:cNvPr id="23" name="Crop Name 2">
              <a:extLst>
                <a:ext uri="{FF2B5EF4-FFF2-40B4-BE49-F238E27FC236}">
                  <a16:creationId xmlns:a16="http://schemas.microsoft.com/office/drawing/2014/main" id="{20B993D5-6DD1-4C4F-99AE-D1EC88340ED1}"/>
                </a:ext>
              </a:extLst>
            </xdr:cNvPr>
            <xdr:cNvGraphicFramePr/>
          </xdr:nvGraphicFramePr>
          <xdr:xfrm>
            <a:off x="0" y="0"/>
            <a:ext cx="0" cy="0"/>
          </xdr:xfrm>
          <a:graphic>
            <a:graphicData uri="http://schemas.microsoft.com/office/drawing/2010/slicer">
              <sle:slicer xmlns:sle="http://schemas.microsoft.com/office/drawing/2010/slicer" name="Crop Name 2"/>
            </a:graphicData>
          </a:graphic>
        </xdr:graphicFrame>
      </mc:Choice>
      <mc:Fallback xmlns="">
        <xdr:sp macro="" textlink="">
          <xdr:nvSpPr>
            <xdr:cNvPr id="0" name=""/>
            <xdr:cNvSpPr>
              <a:spLocks noTextEdit="1"/>
            </xdr:cNvSpPr>
          </xdr:nvSpPr>
          <xdr:spPr>
            <a:xfrm>
              <a:off x="22436601" y="12206910"/>
              <a:ext cx="2716866" cy="2153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159025</xdr:colOff>
      <xdr:row>0</xdr:row>
      <xdr:rowOff>0</xdr:rowOff>
    </xdr:from>
    <xdr:to>
      <xdr:col>15</xdr:col>
      <xdr:colOff>315811</xdr:colOff>
      <xdr:row>31</xdr:row>
      <xdr:rowOff>9093</xdr:rowOff>
    </xdr:to>
    <xdr:pic>
      <xdr:nvPicPr>
        <xdr:cNvPr id="2" name="Picture 1">
          <a:extLst>
            <a:ext uri="{FF2B5EF4-FFF2-40B4-BE49-F238E27FC236}">
              <a16:creationId xmlns:a16="http://schemas.microsoft.com/office/drawing/2014/main" id="{DCFA56FA-5CA6-4606-BE0E-0060D50CC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025" y="0"/>
          <a:ext cx="10195308" cy="5349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533463</xdr:colOff>
      <xdr:row>11</xdr:row>
      <xdr:rowOff>154168</xdr:rowOff>
    </xdr:from>
    <xdr:to>
      <xdr:col>13</xdr:col>
      <xdr:colOff>221762</xdr:colOff>
      <xdr:row>26</xdr:row>
      <xdr:rowOff>123913</xdr:rowOff>
    </xdr:to>
    <xdr:graphicFrame macro="">
      <xdr:nvGraphicFramePr>
        <xdr:cNvPr id="2" name="Chart 1">
          <a:extLst>
            <a:ext uri="{FF2B5EF4-FFF2-40B4-BE49-F238E27FC236}">
              <a16:creationId xmlns:a16="http://schemas.microsoft.com/office/drawing/2014/main" id="{48656520-889C-3E61-2501-28CF4440C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511314</xdr:colOff>
      <xdr:row>25</xdr:row>
      <xdr:rowOff>127190</xdr:rowOff>
    </xdr:from>
    <xdr:to>
      <xdr:col>18</xdr:col>
      <xdr:colOff>347885</xdr:colOff>
      <xdr:row>35</xdr:row>
      <xdr:rowOff>133597</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F75F81E8-88B1-DA0A-3FBC-B3BB882B1AB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169789" y="4413440"/>
              <a:ext cx="1836821" cy="1720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587548</xdr:colOff>
      <xdr:row>12</xdr:row>
      <xdr:rowOff>142764</xdr:rowOff>
    </xdr:from>
    <xdr:to>
      <xdr:col>23</xdr:col>
      <xdr:colOff>420631</xdr:colOff>
      <xdr:row>23</xdr:row>
      <xdr:rowOff>23567</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F02214AB-A752-DD8F-BDCD-7357D5D4302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579773" y="2200164"/>
              <a:ext cx="1833333" cy="1766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175298</xdr:colOff>
      <xdr:row>12</xdr:row>
      <xdr:rowOff>122124</xdr:rowOff>
    </xdr:from>
    <xdr:to>
      <xdr:col>27</xdr:col>
      <xdr:colOff>2336</xdr:colOff>
      <xdr:row>23</xdr:row>
      <xdr:rowOff>35</xdr:rowOff>
    </xdr:to>
    <mc:AlternateContent xmlns:mc="http://schemas.openxmlformats.org/markup-compatibility/2006" xmlns:a14="http://schemas.microsoft.com/office/drawing/2010/main">
      <mc:Choice Requires="a14">
        <xdr:graphicFrame macro="">
          <xdr:nvGraphicFramePr>
            <xdr:cNvPr id="6" name="Season">
              <a:extLst>
                <a:ext uri="{FF2B5EF4-FFF2-40B4-BE49-F238E27FC236}">
                  <a16:creationId xmlns:a16="http://schemas.microsoft.com/office/drawing/2014/main" id="{C3849C3D-2B69-6ED6-CE76-FF3B51C7A6AD}"/>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6834523" y="2179524"/>
              <a:ext cx="1827288" cy="1763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11853</xdr:colOff>
      <xdr:row>12</xdr:row>
      <xdr:rowOff>172237</xdr:rowOff>
    </xdr:from>
    <xdr:to>
      <xdr:col>17</xdr:col>
      <xdr:colOff>516224</xdr:colOff>
      <xdr:row>23</xdr:row>
      <xdr:rowOff>7856</xdr:rowOff>
    </xdr:to>
    <mc:AlternateContent xmlns:mc="http://schemas.openxmlformats.org/markup-compatibility/2006" xmlns:a14="http://schemas.microsoft.com/office/drawing/2010/main">
      <mc:Choice Requires="a14">
        <xdr:graphicFrame macro="">
          <xdr:nvGraphicFramePr>
            <xdr:cNvPr id="7" name="Crop Name">
              <a:extLst>
                <a:ext uri="{FF2B5EF4-FFF2-40B4-BE49-F238E27FC236}">
                  <a16:creationId xmlns:a16="http://schemas.microsoft.com/office/drawing/2014/main" id="{13D9DAE6-B4D6-9C38-5581-F1FE66123588}"/>
                </a:ext>
              </a:extLst>
            </xdr:cNvPr>
            <xdr:cNvGraphicFramePr/>
          </xdr:nvGraphicFramePr>
          <xdr:xfrm>
            <a:off x="0" y="0"/>
            <a:ext cx="0" cy="0"/>
          </xdr:xfrm>
          <a:graphic>
            <a:graphicData uri="http://schemas.microsoft.com/office/drawing/2010/slicer">
              <sle:slicer xmlns:sle="http://schemas.microsoft.com/office/drawing/2010/slicer" name="Crop Name"/>
            </a:graphicData>
          </a:graphic>
        </xdr:graphicFrame>
      </mc:Choice>
      <mc:Fallback xmlns="">
        <xdr:sp macro="" textlink="">
          <xdr:nvSpPr>
            <xdr:cNvPr id="0" name=""/>
            <xdr:cNvSpPr>
              <a:spLocks noTextEdit="1"/>
            </xdr:cNvSpPr>
          </xdr:nvSpPr>
          <xdr:spPr>
            <a:xfrm>
              <a:off x="10670328" y="2229637"/>
              <a:ext cx="1837871" cy="1721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615890</xdr:colOff>
      <xdr:row>13</xdr:row>
      <xdr:rowOff>0</xdr:rowOff>
    </xdr:from>
    <xdr:to>
      <xdr:col>20</xdr:col>
      <xdr:colOff>448979</xdr:colOff>
      <xdr:row>23</xdr:row>
      <xdr:rowOff>7856</xdr:rowOff>
    </xdr:to>
    <mc:AlternateContent xmlns:mc="http://schemas.openxmlformats.org/markup-compatibility/2006" xmlns:a14="http://schemas.microsoft.com/office/drawing/2010/main">
      <mc:Choice Requires="a14">
        <xdr:graphicFrame macro="">
          <xdr:nvGraphicFramePr>
            <xdr:cNvPr id="8" name="Irrigation Type">
              <a:extLst>
                <a:ext uri="{FF2B5EF4-FFF2-40B4-BE49-F238E27FC236}">
                  <a16:creationId xmlns:a16="http://schemas.microsoft.com/office/drawing/2014/main" id="{B1887726-B93D-A251-5C31-A3E120D3FCC2}"/>
                </a:ext>
              </a:extLst>
            </xdr:cNvPr>
            <xdr:cNvGraphicFramePr/>
          </xdr:nvGraphicFramePr>
          <xdr:xfrm>
            <a:off x="0" y="0"/>
            <a:ext cx="0" cy="0"/>
          </xdr:xfrm>
          <a:graphic>
            <a:graphicData uri="http://schemas.microsoft.com/office/drawing/2010/slicer">
              <sle:slicer xmlns:sle="http://schemas.microsoft.com/office/drawing/2010/slicer" name="Irrigation Type"/>
            </a:graphicData>
          </a:graphic>
        </xdr:graphicFrame>
      </mc:Choice>
      <mc:Fallback xmlns="">
        <xdr:sp macro="" textlink="">
          <xdr:nvSpPr>
            <xdr:cNvPr id="0" name=""/>
            <xdr:cNvSpPr>
              <a:spLocks noTextEdit="1"/>
            </xdr:cNvSpPr>
          </xdr:nvSpPr>
          <xdr:spPr>
            <a:xfrm>
              <a:off x="12607865" y="2228850"/>
              <a:ext cx="1833339" cy="1722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370059</xdr:colOff>
      <xdr:row>1</xdr:row>
      <xdr:rowOff>174107</xdr:rowOff>
    </xdr:from>
    <xdr:to>
      <xdr:col>10</xdr:col>
      <xdr:colOff>66588</xdr:colOff>
      <xdr:row>16</xdr:row>
      <xdr:rowOff>174107</xdr:rowOff>
    </xdr:to>
    <xdr:graphicFrame macro="">
      <xdr:nvGraphicFramePr>
        <xdr:cNvPr id="2" name="Chart 1">
          <a:extLst>
            <a:ext uri="{FF2B5EF4-FFF2-40B4-BE49-F238E27FC236}">
              <a16:creationId xmlns:a16="http://schemas.microsoft.com/office/drawing/2014/main" id="{5DBC1D4C-F2CA-B1F7-FE5A-E16C534ED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95250</xdr:colOff>
      <xdr:row>5</xdr:row>
      <xdr:rowOff>49530</xdr:rowOff>
    </xdr:from>
    <xdr:to>
      <xdr:col>11</xdr:col>
      <xdr:colOff>400050</xdr:colOff>
      <xdr:row>20</xdr:row>
      <xdr:rowOff>49530</xdr:rowOff>
    </xdr:to>
    <xdr:graphicFrame macro="">
      <xdr:nvGraphicFramePr>
        <xdr:cNvPr id="2" name="Chart 1">
          <a:extLst>
            <a:ext uri="{FF2B5EF4-FFF2-40B4-BE49-F238E27FC236}">
              <a16:creationId xmlns:a16="http://schemas.microsoft.com/office/drawing/2014/main" id="{E4EEF2D4-843C-4914-DFA8-B672DF47B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49530</xdr:colOff>
      <xdr:row>3</xdr:row>
      <xdr:rowOff>34290</xdr:rowOff>
    </xdr:from>
    <xdr:to>
      <xdr:col>10</xdr:col>
      <xdr:colOff>354330</xdr:colOff>
      <xdr:row>18</xdr:row>
      <xdr:rowOff>34290</xdr:rowOff>
    </xdr:to>
    <xdr:graphicFrame macro="">
      <xdr:nvGraphicFramePr>
        <xdr:cNvPr id="2" name="Chart 1">
          <a:extLst>
            <a:ext uri="{FF2B5EF4-FFF2-40B4-BE49-F238E27FC236}">
              <a16:creationId xmlns:a16="http://schemas.microsoft.com/office/drawing/2014/main" id="{978BCCC6-B384-52B8-FB34-DB6F37F69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339090</xdr:colOff>
      <xdr:row>5</xdr:row>
      <xdr:rowOff>110490</xdr:rowOff>
    </xdr:from>
    <xdr:to>
      <xdr:col>13</xdr:col>
      <xdr:colOff>34290</xdr:colOff>
      <xdr:row>20</xdr:row>
      <xdr:rowOff>110490</xdr:rowOff>
    </xdr:to>
    <xdr:graphicFrame macro="">
      <xdr:nvGraphicFramePr>
        <xdr:cNvPr id="2" name="Chart 1">
          <a:extLst>
            <a:ext uri="{FF2B5EF4-FFF2-40B4-BE49-F238E27FC236}">
              <a16:creationId xmlns:a16="http://schemas.microsoft.com/office/drawing/2014/main" id="{54D6BE3C-4D36-7C04-C33D-ADCE45B8F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xman" refreshedDate="46289.091186921294" createdVersion="8" refreshedVersion="8" minRefreshableVersion="3" recordCount="540" xr:uid="{0E631FB6-673E-4154-AA85-9DFA90CDB9AE}">
  <cacheSource type="worksheet">
    <worksheetSource name="Agricultural_Crop_Yield"/>
  </cacheSource>
  <cacheFields count="24">
    <cacheField name="Crop ID" numFmtId="0">
      <sharedItems containsBlank="1"/>
    </cacheField>
    <cacheField name="Date" numFmtId="14">
      <sharedItems containsNonDate="0" containsDate="1" containsString="0" containsBlank="1" minDate="2010-04-03T00:00:00" maxDate="2023-03-16T00:00:00"/>
    </cacheField>
    <cacheField name="Year" numFmtId="0">
      <sharedItems containsString="0" containsBlank="1" containsNumber="1" containsInteger="1" minValue="2010" maxValue="2022" count="14">
        <n v="2010"/>
        <n v="2013"/>
        <n v="2012"/>
        <n v="2018"/>
        <n v="2016"/>
        <n v="2011"/>
        <n v="2017"/>
        <n v="2022"/>
        <n v="2021"/>
        <n v="2014"/>
        <n v="2015"/>
        <n v="2020"/>
        <n v="2019"/>
        <m/>
      </sharedItems>
    </cacheField>
    <cacheField name="State" numFmtId="0">
      <sharedItems containsBlank="1" count="8">
        <s v="Uttar Pradesh"/>
        <s v="Punjab"/>
        <s v="Maharashtra"/>
        <s v="Karnataka"/>
        <s v="West Bengal"/>
        <s v="Bihar"/>
        <s v="Haryana"/>
        <m/>
      </sharedItems>
    </cacheField>
    <cacheField name="District" numFmtId="0">
      <sharedItems containsBlank="1"/>
    </cacheField>
    <cacheField name="Season" numFmtId="0">
      <sharedItems containsBlank="1" count="4">
        <s v="Zaid"/>
        <s v="Kharif"/>
        <s v="Rabi"/>
        <m/>
      </sharedItems>
    </cacheField>
    <cacheField name="Crop Name" numFmtId="0">
      <sharedItems containsBlank="1" count="7">
        <s v="Maize"/>
        <s v="Pulses"/>
        <s v="Cotton"/>
        <s v="Sugarcane"/>
        <s v="Rice"/>
        <s v="Wheat"/>
        <m/>
      </sharedItems>
    </cacheField>
    <cacheField name="Area (Hectares)" numFmtId="0">
      <sharedItems containsString="0" containsBlank="1" containsNumber="1" minValue="1.02" maxValue="99.72"/>
    </cacheField>
    <cacheField name="Production (Tonnes)" numFmtId="0">
      <sharedItems containsString="0" containsBlank="1" containsNumber="1" minValue="1.58" maxValue="668.98"/>
    </cacheField>
    <cacheField name="Yield (Kg/Ha)" numFmtId="0">
      <sharedItems containsString="0" containsBlank="1" containsNumber="1" minValue="1015.41" maxValue="6990.6"/>
    </cacheField>
    <cacheField name="Irrigation Type" numFmtId="0">
      <sharedItems containsBlank="1" count="5">
        <s v="Canal"/>
        <s v="Drip"/>
        <s v="Rainfed"/>
        <s v="Borewell"/>
        <m/>
      </sharedItems>
    </cacheField>
    <cacheField name="Fertilizer Type" numFmtId="0">
      <sharedItems containsBlank="1"/>
    </cacheField>
    <cacheField name="Fertilizer Used (Kg)" numFmtId="0">
      <sharedItems containsString="0" containsBlank="1" containsNumber="1" minValue="51.64" maxValue="299.98"/>
    </cacheField>
    <cacheField name="Rainfall (mm)" numFmtId="0">
      <sharedItems containsString="0" containsBlank="1" containsNumber="1" minValue="201.46" maxValue="1198.45"/>
    </cacheField>
    <cacheField name="Soil Type" numFmtId="0">
      <sharedItems containsBlank="1"/>
    </cacheField>
    <cacheField name="Temperature (Celsius)" numFmtId="0">
      <sharedItems containsString="0" containsBlank="1" containsNumber="1" minValue="20.02" maxValue="34.979999999999997"/>
    </cacheField>
    <cacheField name="Year-Month" numFmtId="0">
      <sharedItems count="146">
        <s v="2010-04"/>
        <s v="2013-04"/>
        <s v="2012-10"/>
        <s v="2018-11"/>
        <s v="2016-12"/>
        <s v="2012-11"/>
        <s v="2011-07"/>
        <s v="2012-05"/>
        <s v="2011-05"/>
        <s v="2018-10"/>
        <s v="2017-06"/>
        <s v="2022-05"/>
        <s v="2021-06"/>
        <s v="2018-07"/>
        <s v="2016-10"/>
        <s v="2013-02"/>
        <s v="2021-04"/>
        <s v="2017-04"/>
        <s v="2014-12"/>
        <s v="2015-10"/>
        <s v="2013-01"/>
        <s v="2010-09"/>
        <s v="2018-09"/>
        <s v="2015-07"/>
        <s v="2022-06"/>
        <s v="2017-07"/>
        <s v="2012-01"/>
        <s v="2017-02"/>
        <s v="2020-05"/>
        <s v="2018-12"/>
        <s v="2016-05"/>
        <s v="2014-04"/>
        <s v="2013-10"/>
        <s v="2023-03"/>
        <s v="2021-03"/>
        <s v="2014-02"/>
        <s v="2021-10"/>
        <s v="2014-03"/>
        <s v="2019-04"/>
        <s v="2014-11"/>
        <s v="2021-07"/>
        <s v="2020-09"/>
        <s v="2021-02"/>
        <s v="2021-01"/>
        <s v="2014-01"/>
        <s v="2022-03"/>
        <s v="2012-03"/>
        <s v="2018-03"/>
        <s v="2015-03"/>
        <s v="2019-07"/>
        <s v="2010-12"/>
        <s v="2019-05"/>
        <s v="2019-11"/>
        <s v="2019-12"/>
        <s v="2017-11"/>
        <s v="2022-02"/>
        <s v="2020-04"/>
        <s v="2017-08"/>
        <s v="2014-05"/>
        <s v="2018-04"/>
        <s v="2023-01"/>
        <s v="2010-05"/>
        <s v="2011-04"/>
        <s v="2018-08"/>
        <s v="2011-10"/>
        <s v="2014-06"/>
        <s v="2020-08"/>
        <s v="2013-05"/>
        <s v="2014-08"/>
        <s v="2013-07"/>
        <s v="2022-07"/>
        <s v="2021-12"/>
        <s v="2022-04"/>
        <s v="2011-11"/>
        <s v="2021-11"/>
        <s v="2015-08"/>
        <s v="2017-01"/>
        <s v="2019-09"/>
        <s v="2020-02"/>
        <s v="2019-10"/>
        <s v="2010-11"/>
        <s v="2020-06"/>
        <s v="2010-08"/>
        <s v="2018-01"/>
        <s v="2015-05"/>
        <s v="2011-06"/>
        <s v="2020-03"/>
        <s v="2012-07"/>
        <s v="2011-03"/>
        <s v="2011-08"/>
        <s v="2019-03"/>
        <s v="2021-05"/>
        <s v="2018-05"/>
        <s v="2015-04"/>
        <s v="2011-01"/>
        <s v="2019-01"/>
        <s v="2015-01"/>
        <s v="2017-12"/>
        <s v="2020-11"/>
        <s v="2016-04"/>
        <s v="2011-02"/>
        <s v="2012-04"/>
        <s v="2013-09"/>
        <s v="2017-09"/>
        <s v="2011-12"/>
        <s v="2016-03"/>
        <s v="2022-10"/>
        <s v="2016-02"/>
        <s v="2018-02"/>
        <s v="2012-08"/>
        <s v="2016-11"/>
        <s v="2013-06"/>
        <s v="2013-12"/>
        <s v="2012-12"/>
        <s v="2011-09"/>
        <s v="2022-11"/>
        <s v="2021-09"/>
        <s v="2013-08"/>
        <s v="2016-08"/>
        <s v="2012-09"/>
        <s v="2015-11"/>
        <s v="2017-05"/>
        <s v="2014-10"/>
        <s v="2016-09"/>
        <s v="2023-02"/>
        <s v="2022-08"/>
        <s v="2010-07"/>
        <s v="2013-11"/>
        <s v="2016-07"/>
        <s v="2015-02"/>
        <s v="2019-02"/>
        <s v="2017-10"/>
        <s v="2018-06"/>
        <s v="2014-09"/>
        <s v="2015-06"/>
        <s v="2021-08"/>
        <s v="2016-01"/>
        <s v="2015-12"/>
        <s v="2020-07"/>
        <s v="2019-08"/>
        <s v="2022-09"/>
        <s v="2019-06"/>
        <s v="2014-07"/>
        <s v="2010-10"/>
        <s v="2013-03"/>
        <s v="1900-01"/>
      </sharedItems>
    </cacheField>
    <cacheField name="Yield per Acre" numFmtId="0">
      <sharedItems containsSemiMixedTypes="0" containsString="0" containsNumber="1" minValue="0" maxValue="2828.9998178911801"/>
    </cacheField>
    <cacheField name="Fertilizer Efficiency" numFmtId="0">
      <sharedItems containsMixedTypes="1" containsNumber="1" minValue="1.6684953144864441" maxValue="49.338544950789846"/>
    </cacheField>
    <cacheField name="Clean State" numFmtId="0">
      <sharedItems count="8">
        <s v="Uttar Pradesh"/>
        <s v="Punjab"/>
        <s v="Maharashtra"/>
        <s v="Karnataka"/>
        <s v="West Bengal"/>
        <s v="Bihar"/>
        <s v="Haryana"/>
        <s v=""/>
      </sharedItems>
    </cacheField>
    <cacheField name="Clean District" numFmtId="0">
      <sharedItems count="22">
        <s v="Lucknow"/>
        <s v="Ludhiana"/>
        <s v="Pune"/>
        <s v="Bangalore"/>
        <s v="Kolkata"/>
        <s v="Mysore"/>
        <s v="Varanasi"/>
        <s v="Patna"/>
        <s v="Gaya"/>
        <s v="Darjeeling"/>
        <s v="Patiala"/>
        <s v="Kanpur"/>
        <s v="Hubli"/>
        <s v="Nagpur"/>
        <s v="Amritsar"/>
        <s v="Bhagalpur"/>
        <s v="Howrah"/>
        <s v="Gurgaon"/>
        <s v="Faridabad"/>
        <s v="Mumbai"/>
        <s v="Hisar"/>
        <s v=""/>
      </sharedItems>
    </cacheField>
    <cacheField name="Clean Crop Name" numFmtId="0">
      <sharedItems count="7">
        <s v="Maize"/>
        <s v="Pulses"/>
        <s v="Cotton"/>
        <s v="Sugarcane"/>
        <s v="Rice"/>
        <s v="Wheat"/>
        <s v=""/>
      </sharedItems>
    </cacheField>
    <cacheField name="Clean Fertilizer Type" numFmtId="0">
      <sharedItems count="6">
        <s v="Urea"/>
        <s v="Compost"/>
        <s v="Dap"/>
        <s v="Vermicompost"/>
        <s v="Npk"/>
        <s v=""/>
      </sharedItems>
    </cacheField>
    <cacheField name="Crop Category" numFmtId="0">
      <sharedItems count="2">
        <s v="Food"/>
        <s v="Cash"/>
      </sharedItems>
    </cacheField>
  </cacheFields>
  <extLst>
    <ext xmlns:x14="http://schemas.microsoft.com/office/spreadsheetml/2009/9/main" uri="{725AE2AE-9491-48be-B2B4-4EB974FC3084}">
      <x14:pivotCacheDefinition pivotCacheId="251087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s v="CID1"/>
    <d v="2010-04-03T00:00:00"/>
    <x v="0"/>
    <x v="0"/>
    <s v="Lucknow"/>
    <x v="0"/>
    <x v="0"/>
    <n v="25.24"/>
    <n v="46.37"/>
    <n v="1837.23"/>
    <x v="0"/>
    <s v="Urea"/>
    <n v="219.17"/>
    <n v="1092.18"/>
    <s v="Black"/>
    <n v="28.86"/>
    <x v="0"/>
    <n v="743.50175026810462"/>
    <n v="3.3923518285719059"/>
    <x v="0"/>
    <x v="0"/>
    <x v="0"/>
    <x v="0"/>
    <x v="0"/>
  </r>
  <r>
    <s v="CID2"/>
    <d v="2013-04-11T00:00:00"/>
    <x v="1"/>
    <x v="1"/>
    <s v="Ludhiana"/>
    <x v="0"/>
    <x v="1"/>
    <n v="3.63"/>
    <n v="7.96"/>
    <n v="2193.0300000000002"/>
    <x v="1"/>
    <s v="Compost"/>
    <n v="105.11"/>
    <n v="789.27"/>
    <s v="Black"/>
    <n v="31.38"/>
    <x v="1"/>
    <n v="887.48912405657518"/>
    <n v="8.4434318719110948"/>
    <x v="1"/>
    <x v="1"/>
    <x v="1"/>
    <x v="1"/>
    <x v="0"/>
  </r>
  <r>
    <s v="CID3"/>
    <d v="2012-10-16T00:00:00"/>
    <x v="2"/>
    <x v="2"/>
    <s v="Pune"/>
    <x v="1"/>
    <x v="0"/>
    <n v="11.12"/>
    <n v="36.47"/>
    <n v="3279.56"/>
    <x v="2"/>
    <s v="Urea"/>
    <n v="261.87"/>
    <n v="803.73"/>
    <s v="Black"/>
    <n v="30.95"/>
    <x v="2"/>
    <n v="1327.192893709152"/>
    <n v="5.0681364559100013"/>
    <x v="2"/>
    <x v="2"/>
    <x v="0"/>
    <x v="0"/>
    <x v="0"/>
  </r>
  <r>
    <s v="CID4"/>
    <d v="2018-11-21T00:00:00"/>
    <x v="3"/>
    <x v="3"/>
    <s v="Bangalore"/>
    <x v="2"/>
    <x v="2"/>
    <n v="62.23"/>
    <n v="383.97"/>
    <n v="6170.24"/>
    <x v="3"/>
    <s v="DAP"/>
    <n v="226.14"/>
    <n v="245.82"/>
    <s v="Red"/>
    <n v="31.6"/>
    <x v="3"/>
    <n v="2497.011391918415"/>
    <n v="11.041882868658421"/>
    <x v="3"/>
    <x v="3"/>
    <x v="2"/>
    <x v="2"/>
    <x v="1"/>
  </r>
  <r>
    <s v="CID5"/>
    <d v="2016-12-14T00:00:00"/>
    <x v="4"/>
    <x v="4"/>
    <s v="Kolkata"/>
    <x v="2"/>
    <x v="3"/>
    <n v="63.93"/>
    <n v="203.87"/>
    <n v="3188.99"/>
    <x v="2"/>
    <s v="Vermicompost"/>
    <n v="138.82"/>
    <n v="870.18"/>
    <s v="Black"/>
    <n v="29.14"/>
    <x v="4"/>
    <n v="1290.5404585095405"/>
    <n v="9.2965023664424482"/>
    <x v="4"/>
    <x v="4"/>
    <x v="3"/>
    <x v="3"/>
    <x v="1"/>
  </r>
  <r>
    <s v="CID6"/>
    <d v="2012-11-09T00:00:00"/>
    <x v="2"/>
    <x v="0"/>
    <s v="Lucknow"/>
    <x v="2"/>
    <x v="3"/>
    <n v="27.72"/>
    <n v="181.63"/>
    <n v="6552.35"/>
    <x v="3"/>
    <s v="NPK"/>
    <n v="221.15"/>
    <n v="1042.8499999999999"/>
    <s v="Black"/>
    <n v="23.44"/>
    <x v="5"/>
    <n v="2651.6460613909071"/>
    <n v="11.990260282120312"/>
    <x v="0"/>
    <x v="0"/>
    <x v="3"/>
    <x v="4"/>
    <x v="1"/>
  </r>
  <r>
    <s v="CID7"/>
    <d v="2011-07-06T00:00:00"/>
    <x v="5"/>
    <x v="3"/>
    <s v="Mysore"/>
    <x v="1"/>
    <x v="1"/>
    <n v="87.76"/>
    <n v="253.46"/>
    <n v="2888.07"/>
    <x v="1"/>
    <s v="DAP"/>
    <n v="148.91"/>
    <n v="1114.55"/>
    <s v="Laterite"/>
    <n v="22.14"/>
    <x v="6"/>
    <n v="1168.7622670524677"/>
    <n v="7.848782936353957"/>
    <x v="3"/>
    <x v="5"/>
    <x v="1"/>
    <x v="2"/>
    <x v="0"/>
  </r>
  <r>
    <s v="CID8"/>
    <d v="2018-11-24T00:00:00"/>
    <x v="3"/>
    <x v="0"/>
    <s v="Varanasi"/>
    <x v="2"/>
    <x v="2"/>
    <n v="58.87"/>
    <n v="376"/>
    <n v="6386.94"/>
    <x v="1"/>
    <s v="Urea"/>
    <n v="140.5"/>
    <n v="1197.33"/>
    <s v="Red"/>
    <n v="27.64"/>
    <x v="3"/>
    <n v="2584.7069059711457"/>
    <n v="18.396490433958334"/>
    <x v="0"/>
    <x v="6"/>
    <x v="2"/>
    <x v="0"/>
    <x v="1"/>
  </r>
  <r>
    <s v="CID9"/>
    <d v="2012-05-06T00:00:00"/>
    <x v="2"/>
    <x v="4"/>
    <s v="Kolkata"/>
    <x v="0"/>
    <x v="4"/>
    <n v="79.42"/>
    <n v="280.58999999999997"/>
    <n v="3532.96"/>
    <x v="0"/>
    <s v="Urea"/>
    <n v="146.19"/>
    <n v="795.89"/>
    <s v="Laterite"/>
    <n v="27.94"/>
    <x v="7"/>
    <n v="1429.7403937597378"/>
    <n v="9.7800150062229818"/>
    <x v="4"/>
    <x v="4"/>
    <x v="4"/>
    <x v="0"/>
    <x v="0"/>
  </r>
  <r>
    <s v="CID10"/>
    <d v="2011-05-17T00:00:00"/>
    <x v="5"/>
    <x v="0"/>
    <s v="Varanasi"/>
    <x v="0"/>
    <x v="1"/>
    <n v="75.34"/>
    <n v="422.78"/>
    <n v="5611.59"/>
    <x v="2"/>
    <s v="NPK"/>
    <n v="77.89"/>
    <n v="634.77"/>
    <s v="Laterite"/>
    <n v="20.05"/>
    <x v="8"/>
    <n v="2270.9334088747701"/>
    <n v="29.155647822246372"/>
    <x v="0"/>
    <x v="6"/>
    <x v="1"/>
    <x v="4"/>
    <x v="0"/>
  </r>
  <r>
    <s v="CID11"/>
    <d v="2018-10-14T00:00:00"/>
    <x v="3"/>
    <x v="5"/>
    <s v="Patna"/>
    <x v="1"/>
    <x v="2"/>
    <n v="30.55"/>
    <n v="147.66999999999999"/>
    <n v="4833.7"/>
    <x v="3"/>
    <s v="Urea"/>
    <n v="88.21"/>
    <n v="962.51"/>
    <s v="Sandy"/>
    <n v="34.299999999999997"/>
    <x v="9"/>
    <n v="1956.1320086602861"/>
    <n v="22.175853176060382"/>
    <x v="5"/>
    <x v="7"/>
    <x v="2"/>
    <x v="0"/>
    <x v="1"/>
  </r>
  <r>
    <s v="CID12"/>
    <d v="2017-06-22T00:00:00"/>
    <x v="6"/>
    <x v="5"/>
    <s v="Gaya"/>
    <x v="1"/>
    <x v="5"/>
    <n v="92.98"/>
    <n v="583.20000000000005"/>
    <n v="6272.33"/>
    <x v="2"/>
    <s v="Compost"/>
    <n v="109.86"/>
    <n v="440.87"/>
    <s v="Sandy"/>
    <n v="34.200000000000003"/>
    <x v="10"/>
    <n v="2538.3258129135388"/>
    <n v="23.105095693733286"/>
    <x v="5"/>
    <x v="8"/>
    <x v="5"/>
    <x v="1"/>
    <x v="0"/>
  </r>
  <r>
    <s v="CID13"/>
    <d v="2022-05-30T00:00:00"/>
    <x v="7"/>
    <x v="4"/>
    <s v="Kolkata"/>
    <x v="0"/>
    <x v="4"/>
    <n v="13.71"/>
    <n v="52.81"/>
    <n v="3851.69"/>
    <x v="3"/>
    <s v="Vermicompost"/>
    <n v="116.26"/>
    <n v="1072.43"/>
    <s v="Laterite"/>
    <n v="34.47"/>
    <x v="11"/>
    <n v="1558.7260476315737"/>
    <n v="13.407242797450316"/>
    <x v="4"/>
    <x v="4"/>
    <x v="4"/>
    <x v="3"/>
    <x v="0"/>
  </r>
  <r>
    <s v="CID14"/>
    <d v="2021-06-17T00:00:00"/>
    <x v="8"/>
    <x v="4"/>
    <s v="Darjeeling"/>
    <x v="1"/>
    <x v="2"/>
    <n v="31.86"/>
    <n v="222.09"/>
    <n v="6970.9"/>
    <x v="2"/>
    <s v="NPK"/>
    <n v="159.53"/>
    <n v="717.58"/>
    <s v="Black"/>
    <n v="23.72"/>
    <x v="12"/>
    <n v="2821.0274984318407"/>
    <n v="17.683366755041941"/>
    <x v="4"/>
    <x v="9"/>
    <x v="2"/>
    <x v="4"/>
    <x v="1"/>
  </r>
  <r>
    <s v="CID15"/>
    <d v="2018-07-31T00:00:00"/>
    <x v="3"/>
    <x v="1"/>
    <s v="Patiala"/>
    <x v="1"/>
    <x v="1"/>
    <n v="22.8"/>
    <n v="32.51"/>
    <n v="1425.96"/>
    <x v="0"/>
    <s v="NPK"/>
    <n v="107.24"/>
    <n v="1105.42"/>
    <s v="Alluvial"/>
    <n v="21.06"/>
    <x v="13"/>
    <n v="577.06642925072344"/>
    <n v="5.3810744987945123"/>
    <x v="1"/>
    <x v="10"/>
    <x v="1"/>
    <x v="4"/>
    <x v="0"/>
  </r>
  <r>
    <s v="CID16"/>
    <d v="2013-04-07T00:00:00"/>
    <x v="1"/>
    <x v="0"/>
    <s v="Kanpur"/>
    <x v="0"/>
    <x v="4"/>
    <n v="72.61"/>
    <n v="457.03"/>
    <n v="6294.3"/>
    <x v="1"/>
    <s v="Compost"/>
    <n v="110.75"/>
    <n v="672.97"/>
    <s v="Laterite"/>
    <n v="22.86"/>
    <x v="1"/>
    <n v="2547.2167701989033"/>
    <n v="22.999699956649241"/>
    <x v="0"/>
    <x v="11"/>
    <x v="4"/>
    <x v="1"/>
    <x v="0"/>
  </r>
  <r>
    <s v="CID17"/>
    <d v="2016-12-19T00:00:00"/>
    <x v="4"/>
    <x v="2"/>
    <s v="Pune"/>
    <x v="2"/>
    <x v="2"/>
    <n v="6.36"/>
    <n v="31.3"/>
    <n v="4920.7299999999996"/>
    <x v="0"/>
    <s v="Vermicompost"/>
    <n v="65.150000000000006"/>
    <n v="928.21"/>
    <s v="Black"/>
    <n v="23.73"/>
    <x v="4"/>
    <n v="1991.3518544748183"/>
    <n v="30.565646269759295"/>
    <x v="2"/>
    <x v="2"/>
    <x v="2"/>
    <x v="3"/>
    <x v="1"/>
  </r>
  <r>
    <s v="CID18"/>
    <d v="2016-10-17T00:00:00"/>
    <x v="4"/>
    <x v="3"/>
    <s v="Bangalore"/>
    <x v="1"/>
    <x v="0"/>
    <n v="46.8"/>
    <n v="292.36"/>
    <n v="6246.92"/>
    <x v="0"/>
    <s v="Urea"/>
    <n v="160.78"/>
    <n v="1061.3499999999999"/>
    <s v="Sandy"/>
    <n v="21.47"/>
    <x v="14"/>
    <n v="2528.0427348697922"/>
    <n v="15.723614472383332"/>
    <x v="3"/>
    <x v="3"/>
    <x v="0"/>
    <x v="0"/>
    <x v="0"/>
  </r>
  <r>
    <s v="CID19"/>
    <d v="2013-02-25T00:00:00"/>
    <x v="2"/>
    <x v="1"/>
    <s v="Ludhiana"/>
    <x v="2"/>
    <x v="3"/>
    <n v="48.65"/>
    <n v="301.04000000000002"/>
    <n v="6187.9"/>
    <x v="0"/>
    <s v="NPK"/>
    <n v="91.16"/>
    <n v="202.16"/>
    <s v="Laterite"/>
    <n v="23.98"/>
    <x v="15"/>
    <n v="2504.1581513931324"/>
    <n v="27.469922678731159"/>
    <x v="1"/>
    <x v="1"/>
    <x v="3"/>
    <x v="4"/>
    <x v="1"/>
  </r>
  <r>
    <s v="CID20"/>
    <d v="2021-04-21T00:00:00"/>
    <x v="8"/>
    <x v="3"/>
    <s v="Hubli"/>
    <x v="0"/>
    <x v="2"/>
    <n v="72.12"/>
    <n v="139.1"/>
    <n v="1928.78"/>
    <x v="2"/>
    <s v="Urea"/>
    <n v="104.43"/>
    <n v="258.48"/>
    <s v="Sandy"/>
    <n v="20.91"/>
    <x v="16"/>
    <n v="780.55077800934828"/>
    <n v="7.4743922053945058"/>
    <x v="3"/>
    <x v="12"/>
    <x v="2"/>
    <x v="0"/>
    <x v="1"/>
  </r>
  <r>
    <s v="CID21"/>
    <d v="2017-04-16T00:00:00"/>
    <x v="6"/>
    <x v="1"/>
    <s v="Patiala"/>
    <x v="0"/>
    <x v="1"/>
    <n v="16.59"/>
    <n v="112.23"/>
    <n v="6764.67"/>
    <x v="0"/>
    <s v="Compost"/>
    <n v="262.83999999999997"/>
    <n v="268.52"/>
    <s v="Black"/>
    <n v="30.13"/>
    <x v="17"/>
    <n v="2737.5690495943022"/>
    <n v="10.415344124160335"/>
    <x v="1"/>
    <x v="10"/>
    <x v="1"/>
    <x v="1"/>
    <x v="0"/>
  </r>
  <r>
    <s v="CID22"/>
    <d v="2013-04-26T00:00:00"/>
    <x v="1"/>
    <x v="1"/>
    <s v="Patiala"/>
    <x v="0"/>
    <x v="1"/>
    <n v="4.93"/>
    <n v="7.36"/>
    <n v="1491.9"/>
    <x v="2"/>
    <s v="DAP"/>
    <n v="283.68"/>
    <n v="404.26"/>
    <s v="Alluvial"/>
    <n v="23.58"/>
    <x v="1"/>
    <n v="603.7514416948261"/>
    <n v="2.1282834239101316"/>
    <x v="1"/>
    <x v="10"/>
    <x v="1"/>
    <x v="2"/>
    <x v="0"/>
  </r>
  <r>
    <s v="CID23"/>
    <d v="2014-12-25T00:00:00"/>
    <x v="9"/>
    <x v="0"/>
    <s v="Varanasi"/>
    <x v="2"/>
    <x v="0"/>
    <n v="92.97"/>
    <n v="614.94000000000005"/>
    <n v="6614.41"/>
    <x v="0"/>
    <s v="Vermicompost"/>
    <n v="164.57"/>
    <n v="1198.45"/>
    <s v="Black"/>
    <n v="21.1"/>
    <x v="18"/>
    <n v="2676.7608911191596"/>
    <n v="16.265181327818919"/>
    <x v="0"/>
    <x v="6"/>
    <x v="0"/>
    <x v="3"/>
    <x v="0"/>
  </r>
  <r>
    <s v="CID24"/>
    <d v="2015-10-20T00:00:00"/>
    <x v="10"/>
    <x v="2"/>
    <s v="Nagpur"/>
    <x v="1"/>
    <x v="4"/>
    <n v="37.58"/>
    <n v="73.150000000000006"/>
    <n v="1946.48"/>
    <x v="2"/>
    <s v="NPK"/>
    <n v="202.92"/>
    <n v="1187.23"/>
    <s v="Sandy"/>
    <n v="20.12"/>
    <x v="19"/>
    <n v="787.71372493474439"/>
    <n v="3.8818929870626082"/>
    <x v="2"/>
    <x v="13"/>
    <x v="4"/>
    <x v="4"/>
    <x v="0"/>
  </r>
  <r>
    <s v="CID25"/>
    <d v="2013-01-07T00:00:00"/>
    <x v="2"/>
    <x v="0"/>
    <s v="Lucknow"/>
    <x v="2"/>
    <x v="5"/>
    <n v="89.08"/>
    <n v="485.89"/>
    <n v="5454.5"/>
    <x v="3"/>
    <s v="Vermicompost"/>
    <n v="118.09"/>
    <n v="804.83"/>
    <s v="Alluvial"/>
    <n v="23.05"/>
    <x v="20"/>
    <n v="2207.3612431962119"/>
    <n v="18.692194455044557"/>
    <x v="0"/>
    <x v="0"/>
    <x v="5"/>
    <x v="3"/>
    <x v="0"/>
  </r>
  <r>
    <s v="CID26"/>
    <d v="2010-09-22T00:00:00"/>
    <x v="0"/>
    <x v="3"/>
    <s v="Mysore"/>
    <x v="1"/>
    <x v="2"/>
    <n v="42.93"/>
    <n v="114.2"/>
    <n v="2660.08"/>
    <x v="0"/>
    <s v="Vermicompost"/>
    <n v="133.38999999999999"/>
    <n v="330.82"/>
    <s v="Alluvial"/>
    <n v="22.42"/>
    <x v="21"/>
    <n v="1076.4978450456283"/>
    <n v="8.0703039586597836"/>
    <x v="3"/>
    <x v="5"/>
    <x v="2"/>
    <x v="3"/>
    <x v="1"/>
  </r>
  <r>
    <s v="CID27"/>
    <d v="2018-09-19T00:00:00"/>
    <x v="3"/>
    <x v="0"/>
    <s v="Kanpur"/>
    <x v="1"/>
    <x v="5"/>
    <n v="8.4499999999999993"/>
    <n v="53.22"/>
    <n v="6298.64"/>
    <x v="3"/>
    <s v="DAP"/>
    <n v="186.4"/>
    <n v="1034.5999999999999"/>
    <s v="Sandy"/>
    <n v="28.29"/>
    <x v="22"/>
    <n v="2548.97310859756"/>
    <n v="13.674748436682188"/>
    <x v="0"/>
    <x v="11"/>
    <x v="5"/>
    <x v="2"/>
    <x v="0"/>
  </r>
  <r>
    <s v="CID28"/>
    <d v="2015-07-10T00:00:00"/>
    <x v="10"/>
    <x v="1"/>
    <s v="Amritsar"/>
    <x v="1"/>
    <x v="0"/>
    <n v="21.8"/>
    <n v="54.44"/>
    <n v="2497.1799999999998"/>
    <x v="0"/>
    <s v="DAP"/>
    <n v="138.41999999999999"/>
    <n v="759.88"/>
    <s v="Laterite"/>
    <n v="34.61"/>
    <x v="23"/>
    <n v="1010.574452155966"/>
    <n v="7.3007835006210522"/>
    <x v="1"/>
    <x v="14"/>
    <x v="0"/>
    <x v="2"/>
    <x v="0"/>
  </r>
  <r>
    <s v="CID29"/>
    <d v="2022-06-28T00:00:00"/>
    <x v="7"/>
    <x v="4"/>
    <s v="Kolkata"/>
    <x v="1"/>
    <x v="3"/>
    <n v="3.45"/>
    <n v="18.7"/>
    <n v="5419.39"/>
    <x v="2"/>
    <s v="Compost"/>
    <n v="245.6"/>
    <n v="611.71"/>
    <s v="Red"/>
    <n v="24"/>
    <x v="24"/>
    <n v="2193.1527083628421"/>
    <n v="8.9297748711842111"/>
    <x v="4"/>
    <x v="4"/>
    <x v="3"/>
    <x v="1"/>
    <x v="1"/>
  </r>
  <r>
    <s v="CID30"/>
    <d v="2017-07-20T00:00:00"/>
    <x v="6"/>
    <x v="4"/>
    <s v="Kolkata"/>
    <x v="1"/>
    <x v="4"/>
    <n v="81.84"/>
    <n v="307.87"/>
    <n v="3761.82"/>
    <x v="2"/>
    <s v="Compost"/>
    <n v="255.13"/>
    <n v="1071.32"/>
    <s v="Red"/>
    <n v="20.350000000000001"/>
    <x v="25"/>
    <n v="1522.3568928188422"/>
    <n v="5.966985038289665"/>
    <x v="4"/>
    <x v="4"/>
    <x v="4"/>
    <x v="1"/>
    <x v="0"/>
  </r>
  <r>
    <s v="CID31"/>
    <d v="2012-01-07T00:00:00"/>
    <x v="5"/>
    <x v="2"/>
    <s v="Pune"/>
    <x v="2"/>
    <x v="0"/>
    <n v="64.510000000000005"/>
    <n v="219.21"/>
    <n v="3398.07"/>
    <x v="2"/>
    <s v="Urea"/>
    <n v="284.81"/>
    <n v="315.33999999999997"/>
    <s v="Alluvial"/>
    <n v="22.68"/>
    <x v="26"/>
    <n v="1375.1522632079482"/>
    <n v="4.8283145367365901"/>
    <x v="2"/>
    <x v="2"/>
    <x v="0"/>
    <x v="0"/>
    <x v="0"/>
  </r>
  <r>
    <s v="CID32"/>
    <d v="2017-02-20T00:00:00"/>
    <x v="4"/>
    <x v="1"/>
    <s v="Patiala"/>
    <x v="2"/>
    <x v="2"/>
    <n v="78.86"/>
    <n v="285.33999999999997"/>
    <n v="3618.36"/>
    <x v="0"/>
    <s v="Urea"/>
    <n v="146.30000000000001"/>
    <n v="776.59"/>
    <s v="Alluvial"/>
    <n v="20.67"/>
    <x v="27"/>
    <n v="1464.3006009591065"/>
    <n v="10.008889958708862"/>
    <x v="1"/>
    <x v="10"/>
    <x v="2"/>
    <x v="0"/>
    <x v="1"/>
  </r>
  <r>
    <s v="CID33"/>
    <d v="2020-05-13T00:00:00"/>
    <x v="11"/>
    <x v="5"/>
    <s v="Bhagalpur"/>
    <x v="0"/>
    <x v="2"/>
    <n v="73.97"/>
    <n v="161.41999999999999"/>
    <n v="2182.21"/>
    <x v="1"/>
    <s v="Urea"/>
    <n v="67.489999999999995"/>
    <n v="864.24"/>
    <s v="Alluvial"/>
    <n v="29.35"/>
    <x v="28"/>
    <n v="883.11041864794322"/>
    <n v="13.085055840093988"/>
    <x v="5"/>
    <x v="15"/>
    <x v="2"/>
    <x v="0"/>
    <x v="1"/>
  </r>
  <r>
    <s v="CID34"/>
    <d v="2018-12-15T00:00:00"/>
    <x v="3"/>
    <x v="0"/>
    <s v="Kanpur"/>
    <x v="2"/>
    <x v="2"/>
    <n v="41.43"/>
    <n v="141.46"/>
    <n v="3414.4"/>
    <x v="2"/>
    <s v="Vermicompost"/>
    <n v="188.6"/>
    <n v="391.84"/>
    <s v="Laterite"/>
    <n v="30.16"/>
    <x v="29"/>
    <n v="1381.7607899475931"/>
    <n v="7.3264092786192636"/>
    <x v="0"/>
    <x v="11"/>
    <x v="2"/>
    <x v="3"/>
    <x v="1"/>
  </r>
  <r>
    <s v="CID35"/>
    <d v="2016-05-21T00:00:00"/>
    <x v="4"/>
    <x v="5"/>
    <s v="Gaya"/>
    <x v="0"/>
    <x v="5"/>
    <n v="31.08"/>
    <n v="70.27"/>
    <n v="2261.1"/>
    <x v="2"/>
    <s v="DAP"/>
    <n v="166.25"/>
    <n v="642.16"/>
    <s v="Red"/>
    <n v="27.67"/>
    <x v="30"/>
    <n v="915.03611824932716"/>
    <n v="5.5039766511237724"/>
    <x v="5"/>
    <x v="8"/>
    <x v="5"/>
    <x v="2"/>
    <x v="0"/>
  </r>
  <r>
    <s v="CID36"/>
    <d v="2014-04-03T00:00:00"/>
    <x v="9"/>
    <x v="0"/>
    <s v="Lucknow"/>
    <x v="0"/>
    <x v="2"/>
    <n v="63.66"/>
    <n v="191.69"/>
    <n v="3011.13"/>
    <x v="3"/>
    <s v="DAP"/>
    <n v="218.2"/>
    <n v="424.64"/>
    <s v="Red"/>
    <n v="22.21"/>
    <x v="31"/>
    <n v="1218.5629590659842"/>
    <n v="5.5846148444820543"/>
    <x v="0"/>
    <x v="0"/>
    <x v="2"/>
    <x v="2"/>
    <x v="1"/>
  </r>
  <r>
    <s v="CID37"/>
    <d v="2022-06-02T00:00:00"/>
    <x v="7"/>
    <x v="3"/>
    <s v="Hubli"/>
    <x v="1"/>
    <x v="3"/>
    <n v="42.03"/>
    <n v="200.84"/>
    <n v="4778.59"/>
    <x v="3"/>
    <s v="Urea"/>
    <n v="229.59"/>
    <n v="583.98"/>
    <s v="Laterite"/>
    <n v="23.66"/>
    <x v="24"/>
    <n v="1933.8297484874852"/>
    <n v="8.4229702882855744"/>
    <x v="3"/>
    <x v="12"/>
    <x v="3"/>
    <x v="0"/>
    <x v="1"/>
  </r>
  <r>
    <s v="CID38"/>
    <d v="2013-10-14T00:00:00"/>
    <x v="1"/>
    <x v="4"/>
    <s v="Howrah"/>
    <x v="1"/>
    <x v="2"/>
    <n v="52.28"/>
    <n v="68.03"/>
    <n v="1301.31"/>
    <x v="3"/>
    <s v="Vermicompost"/>
    <n v="279.37"/>
    <n v="321.36"/>
    <s v="Red"/>
    <n v="32.020000000000003"/>
    <x v="32"/>
    <n v="526.62228607272209"/>
    <n v="1.8850352080492612"/>
    <x v="4"/>
    <x v="16"/>
    <x v="2"/>
    <x v="3"/>
    <x v="1"/>
  </r>
  <r>
    <s v="CID39"/>
    <d v="2023-03-02T00:00:00"/>
    <x v="7"/>
    <x v="5"/>
    <s v="Gaya"/>
    <x v="2"/>
    <x v="1"/>
    <n v="81.69"/>
    <n v="518.9"/>
    <n v="6352.12"/>
    <x v="1"/>
    <s v="Compost"/>
    <n v="257.64"/>
    <n v="747.87"/>
    <s v="Red"/>
    <n v="31.15"/>
    <x v="33"/>
    <n v="2570.6157301551971"/>
    <n v="9.97754902249339"/>
    <x v="5"/>
    <x v="8"/>
    <x v="1"/>
    <x v="1"/>
    <x v="0"/>
  </r>
  <r>
    <s v="CID40"/>
    <d v="2021-03-19T00:00:00"/>
    <x v="11"/>
    <x v="2"/>
    <s v="Nagpur"/>
    <x v="2"/>
    <x v="1"/>
    <n v="48.98"/>
    <n v="119.29"/>
    <n v="2435.48"/>
    <x v="1"/>
    <s v="Urea"/>
    <n v="69.37"/>
    <n v="485.73"/>
    <s v="Alluvial"/>
    <n v="25.04"/>
    <x v="34"/>
    <n v="985.60530948382268"/>
    <n v="14.207947376154284"/>
    <x v="2"/>
    <x v="13"/>
    <x v="1"/>
    <x v="0"/>
    <x v="0"/>
  </r>
  <r>
    <s v="CID41"/>
    <d v="2014-02-16T00:00:00"/>
    <x v="1"/>
    <x v="6"/>
    <s v="Gurgaon"/>
    <x v="2"/>
    <x v="2"/>
    <n v="16.13"/>
    <n v="36.840000000000003"/>
    <n v="2283.7199999999998"/>
    <x v="1"/>
    <s v="Compost"/>
    <n v="151.9"/>
    <n v="742.61"/>
    <s v="Laterite"/>
    <n v="20.93"/>
    <x v="35"/>
    <n v="924.19012160822319"/>
    <n v="6.0842009322463673"/>
    <x v="6"/>
    <x v="17"/>
    <x v="2"/>
    <x v="1"/>
    <x v="1"/>
  </r>
  <r>
    <s v="CID42"/>
    <d v="2021-10-18T00:00:00"/>
    <x v="8"/>
    <x v="4"/>
    <s v="Darjeeling"/>
    <x v="1"/>
    <x v="1"/>
    <n v="38.659999999999997"/>
    <n v="40.03"/>
    <n v="1035.3800000000001"/>
    <x v="2"/>
    <s v="Vermicompost"/>
    <n v="124.65"/>
    <n v="589.99"/>
    <s v="Laterite"/>
    <n v="28.07"/>
    <x v="36"/>
    <n v="419.00406709698314"/>
    <n v="3.3614445816043572"/>
    <x v="4"/>
    <x v="9"/>
    <x v="1"/>
    <x v="3"/>
    <x v="0"/>
  </r>
  <r>
    <s v="CID43"/>
    <d v="2014-03-17T00:00:00"/>
    <x v="1"/>
    <x v="6"/>
    <s v="Faridabad"/>
    <x v="2"/>
    <x v="3"/>
    <n v="49.08"/>
    <n v="163.59"/>
    <n v="3333.14"/>
    <x v="1"/>
    <s v="Urea"/>
    <n v="231.05"/>
    <n v="1040.51"/>
    <s v="Red"/>
    <n v="34.71"/>
    <x v="37"/>
    <n v="1348.8759838934866"/>
    <n v="5.8380263315017809"/>
    <x v="6"/>
    <x v="18"/>
    <x v="3"/>
    <x v="0"/>
    <x v="1"/>
  </r>
  <r>
    <s v="CID44"/>
    <d v="2019-04-21T00:00:00"/>
    <x v="12"/>
    <x v="3"/>
    <s v="Hubli"/>
    <x v="0"/>
    <x v="5"/>
    <n v="9.31"/>
    <n v="33.25"/>
    <n v="3571.68"/>
    <x v="1"/>
    <s v="NPK"/>
    <n v="95.43"/>
    <n v="460.16"/>
    <s v="Alluvial"/>
    <n v="23.17"/>
    <x v="38"/>
    <n v="1445.4098460168755"/>
    <n v="15.146283621679506"/>
    <x v="3"/>
    <x v="12"/>
    <x v="5"/>
    <x v="4"/>
    <x v="0"/>
  </r>
  <r>
    <s v="CID45"/>
    <d v="2014-11-11T00:00:00"/>
    <x v="9"/>
    <x v="4"/>
    <s v="Howrah"/>
    <x v="2"/>
    <x v="0"/>
    <n v="83.66"/>
    <n v="319.74"/>
    <n v="3821.84"/>
    <x v="0"/>
    <s v="Urea"/>
    <n v="299.98"/>
    <n v="549.96"/>
    <s v="Black"/>
    <n v="31.72"/>
    <x v="39"/>
    <n v="1546.6461625624736"/>
    <n v="5.155830930603619"/>
    <x v="4"/>
    <x v="16"/>
    <x v="0"/>
    <x v="0"/>
    <x v="0"/>
  </r>
  <r>
    <s v="CID46"/>
    <d v="2010-04-11T00:00:00"/>
    <x v="0"/>
    <x v="6"/>
    <s v="Gurgaon"/>
    <x v="0"/>
    <x v="4"/>
    <n v="24.62"/>
    <n v="94.57"/>
    <n v="3841.37"/>
    <x v="0"/>
    <s v="Vermicompost"/>
    <n v="190.99"/>
    <n v="417.96"/>
    <s v="Alluvial"/>
    <n v="31.5"/>
    <x v="0"/>
    <n v="1554.5496853564275"/>
    <n v="8.1394297364072852"/>
    <x v="6"/>
    <x v="17"/>
    <x v="4"/>
    <x v="3"/>
    <x v="0"/>
  </r>
  <r>
    <s v="CID47"/>
    <d v="2021-07-21T00:00:00"/>
    <x v="8"/>
    <x v="5"/>
    <s v="Bhagalpur"/>
    <x v="1"/>
    <x v="4"/>
    <n v="96.51"/>
    <n v="159.11000000000001"/>
    <n v="1648.59"/>
    <x v="0"/>
    <s v="Urea"/>
    <n v="282.22000000000003"/>
    <n v="775.8"/>
    <s v="Laterite"/>
    <n v="25.95"/>
    <x v="40"/>
    <n v="667.16173286659512"/>
    <n v="2.3639775099801397"/>
    <x v="5"/>
    <x v="15"/>
    <x v="4"/>
    <x v="0"/>
    <x v="0"/>
  </r>
  <r>
    <s v="CID48"/>
    <d v="2020-09-18T00:00:00"/>
    <x v="11"/>
    <x v="5"/>
    <s v="Bhagalpur"/>
    <x v="1"/>
    <x v="5"/>
    <n v="70.02"/>
    <n v="196.72"/>
    <n v="2809.5"/>
    <x v="0"/>
    <s v="NPK"/>
    <n v="249.06"/>
    <n v="765.93"/>
    <s v="Black"/>
    <n v="25.21"/>
    <x v="41"/>
    <n v="1136.9660670565145"/>
    <n v="4.5650287764254172"/>
    <x v="5"/>
    <x v="15"/>
    <x v="5"/>
    <x v="4"/>
    <x v="0"/>
  </r>
  <r>
    <s v="CID49"/>
    <d v="2021-02-20T00:00:00"/>
    <x v="11"/>
    <x v="1"/>
    <s v="Patiala"/>
    <x v="2"/>
    <x v="5"/>
    <n v="85.11"/>
    <n v="505.04"/>
    <n v="5933.99"/>
    <x v="0"/>
    <s v="DAP"/>
    <n v="158.38"/>
    <n v="562.19000000000005"/>
    <s v="Laterite"/>
    <n v="30.61"/>
    <x v="42"/>
    <n v="2401.4042613463912"/>
    <n v="15.162294868963198"/>
    <x v="1"/>
    <x v="10"/>
    <x v="5"/>
    <x v="2"/>
    <x v="0"/>
  </r>
  <r>
    <s v="CID50"/>
    <d v="2021-01-02T00:00:00"/>
    <x v="11"/>
    <x v="0"/>
    <s v="Varanasi"/>
    <x v="2"/>
    <x v="1"/>
    <n v="81.010000000000005"/>
    <n v="342.59"/>
    <n v="4229.04"/>
    <x v="1"/>
    <s v="Urea"/>
    <n v="166.22"/>
    <n v="1025.73"/>
    <s v="Sandy"/>
    <n v="24.03"/>
    <x v="43"/>
    <n v="1711.4344104732806"/>
    <n v="10.296200279588982"/>
    <x v="0"/>
    <x v="6"/>
    <x v="1"/>
    <x v="0"/>
    <x v="0"/>
  </r>
  <r>
    <s v="CID51"/>
    <d v="2014-01-06T00:00:00"/>
    <x v="1"/>
    <x v="2"/>
    <s v="Pune"/>
    <x v="2"/>
    <x v="1"/>
    <n v="61.42"/>
    <n v="201.09"/>
    <n v="3273.94"/>
    <x v="0"/>
    <s v="NPK"/>
    <n v="173.58"/>
    <n v="525.01"/>
    <s v="Laterite"/>
    <n v="23.18"/>
    <x v="44"/>
    <n v="1324.9185568887719"/>
    <n v="7.6328987031269264"/>
    <x v="2"/>
    <x v="2"/>
    <x v="1"/>
    <x v="4"/>
    <x v="0"/>
  </r>
  <r>
    <s v="CID52"/>
    <d v="2022-03-02T00:00:00"/>
    <x v="8"/>
    <x v="2"/>
    <s v="Mumbai"/>
    <x v="2"/>
    <x v="1"/>
    <n v="2"/>
    <n v="13.38"/>
    <n v="6688.38"/>
    <x v="0"/>
    <s v="Compost"/>
    <n v="110.34"/>
    <n v="606.42999999999995"/>
    <s v="Sandy"/>
    <n v="31.37"/>
    <x v="45"/>
    <n v="2706.6955342870442"/>
    <n v="24.530501488916478"/>
    <x v="2"/>
    <x v="19"/>
    <x v="1"/>
    <x v="1"/>
    <x v="0"/>
  </r>
  <r>
    <s v="CID53"/>
    <d v="2012-03-20T00:00:00"/>
    <x v="5"/>
    <x v="3"/>
    <s v="Bangalore"/>
    <x v="2"/>
    <x v="4"/>
    <n v="41.04"/>
    <n v="100.95"/>
    <n v="2459.83"/>
    <x v="2"/>
    <s v="NPK"/>
    <n v="168.32"/>
    <n v="730.92"/>
    <s v="Laterite"/>
    <n v="34.950000000000003"/>
    <x v="46"/>
    <n v="995.45942008457939"/>
    <n v="5.9140887600081955"/>
    <x v="3"/>
    <x v="3"/>
    <x v="4"/>
    <x v="4"/>
    <x v="0"/>
  </r>
  <r>
    <s v="CID54"/>
    <d v="2018-03-04T00:00:00"/>
    <x v="6"/>
    <x v="2"/>
    <s v="Mumbai"/>
    <x v="2"/>
    <x v="0"/>
    <n v="25.89"/>
    <n v="44.63"/>
    <n v="1723.94"/>
    <x v="3"/>
    <s v="NPK"/>
    <n v="128.88999999999999"/>
    <n v="942.88"/>
    <s v="Red"/>
    <n v="22.87"/>
    <x v="47"/>
    <n v="697.65484308290002"/>
    <n v="5.412792637775623"/>
    <x v="2"/>
    <x v="19"/>
    <x v="0"/>
    <x v="4"/>
    <x v="0"/>
  </r>
  <r>
    <s v="CID55"/>
    <d v="2022-05-05T00:00:00"/>
    <x v="7"/>
    <x v="0"/>
    <s v="Varanasi"/>
    <x v="0"/>
    <x v="1"/>
    <n v="29.02"/>
    <n v="46.52"/>
    <n v="1603.16"/>
    <x v="3"/>
    <s v="DAP"/>
    <n v="124.06"/>
    <n v="560.88"/>
    <s v="Alluvial"/>
    <n v="20.21"/>
    <x v="11"/>
    <n v="648.77683575807862"/>
    <n v="5.2295408331297644"/>
    <x v="0"/>
    <x v="6"/>
    <x v="1"/>
    <x v="2"/>
    <x v="0"/>
  </r>
  <r>
    <s v="CID56"/>
    <d v="2010-04-29T00:00:00"/>
    <x v="0"/>
    <x v="2"/>
    <s v="Nagpur"/>
    <x v="0"/>
    <x v="0"/>
    <n v="70.040000000000006"/>
    <n v="123.11"/>
    <n v="1757.68"/>
    <x v="1"/>
    <s v="NPK"/>
    <n v="75.650000000000006"/>
    <n v="212.27"/>
    <s v="Alluvial"/>
    <n v="27.04"/>
    <x v="0"/>
    <n v="711.30895773051941"/>
    <n v="9.4026299766096404"/>
    <x v="2"/>
    <x v="13"/>
    <x v="0"/>
    <x v="4"/>
    <x v="0"/>
  </r>
  <r>
    <s v="CID57"/>
    <d v="2015-03-25T00:00:00"/>
    <x v="9"/>
    <x v="6"/>
    <s v="Gurgaon"/>
    <x v="2"/>
    <x v="5"/>
    <n v="82.39"/>
    <n v="280.48"/>
    <n v="3404.24"/>
    <x v="0"/>
    <s v="NPK"/>
    <n v="194.26"/>
    <n v="886.45"/>
    <s v="Red"/>
    <n v="22.24"/>
    <x v="48"/>
    <n v="1377.6491774751623"/>
    <n v="7.0917799725891193"/>
    <x v="6"/>
    <x v="17"/>
    <x v="5"/>
    <x v="4"/>
    <x v="0"/>
  </r>
  <r>
    <s v="CID58"/>
    <d v="2011-05-08T00:00:00"/>
    <x v="5"/>
    <x v="1"/>
    <s v="Ludhiana"/>
    <x v="0"/>
    <x v="3"/>
    <n v="61.03"/>
    <n v="350.58"/>
    <n v="5744.44"/>
    <x v="3"/>
    <s v="Compost"/>
    <n v="243.92"/>
    <n v="580.38"/>
    <s v="Laterite"/>
    <n v="24.46"/>
    <x v="8"/>
    <n v="2324.6959794419377"/>
    <n v="9.5305673148652748"/>
    <x v="1"/>
    <x v="1"/>
    <x v="3"/>
    <x v="1"/>
    <x v="1"/>
  </r>
  <r>
    <s v="CID59"/>
    <d v="2019-07-15T00:00:00"/>
    <x v="12"/>
    <x v="2"/>
    <s v="Mumbai"/>
    <x v="1"/>
    <x v="1"/>
    <n v="96.05"/>
    <n v="153.24"/>
    <n v="1595.4"/>
    <x v="3"/>
    <s v="Vermicompost"/>
    <n v="206.38"/>
    <n v="464.65"/>
    <s v="Black"/>
    <n v="22.36"/>
    <x v="49"/>
    <n v="645.63647032637948"/>
    <n v="3.128386812318924"/>
    <x v="2"/>
    <x v="19"/>
    <x v="1"/>
    <x v="3"/>
    <x v="0"/>
  </r>
  <r>
    <s v="CID60"/>
    <d v="2010-12-30T00:00:00"/>
    <x v="0"/>
    <x v="1"/>
    <s v="Ludhiana"/>
    <x v="2"/>
    <x v="3"/>
    <n v="69.25"/>
    <n v="264.5"/>
    <n v="3819.47"/>
    <x v="0"/>
    <s v="NPK"/>
    <n v="107.87"/>
    <n v="906.96"/>
    <s v="Laterite"/>
    <n v="21.07"/>
    <x v="50"/>
    <n v="1545.6870561097508"/>
    <n v="14.329165255490411"/>
    <x v="1"/>
    <x v="1"/>
    <x v="3"/>
    <x v="4"/>
    <x v="1"/>
  </r>
  <r>
    <s v="CID61"/>
    <d v="2019-05-21T00:00:00"/>
    <x v="12"/>
    <x v="4"/>
    <s v="Darjeeling"/>
    <x v="0"/>
    <x v="4"/>
    <n v="43.09"/>
    <n v="183.88"/>
    <n v="4267.37"/>
    <x v="3"/>
    <s v="NPK"/>
    <n v="277.10000000000002"/>
    <n v="1026.6300000000001"/>
    <s v="Black"/>
    <n v="20.89"/>
    <x v="51"/>
    <n v="1726.9460350862994"/>
    <n v="6.2322123243821697"/>
    <x v="4"/>
    <x v="9"/>
    <x v="4"/>
    <x v="4"/>
    <x v="0"/>
  </r>
  <r>
    <s v="CID62"/>
    <d v="2019-11-11T00:00:00"/>
    <x v="12"/>
    <x v="5"/>
    <s v="Bhagalpur"/>
    <x v="2"/>
    <x v="3"/>
    <n v="13.31"/>
    <n v="68.31"/>
    <n v="5132.07"/>
    <x v="1"/>
    <s v="Compost"/>
    <n v="285.67"/>
    <n v="700.47"/>
    <s v="Laterite"/>
    <n v="26.57"/>
    <x v="52"/>
    <n v="2076.8782501365813"/>
    <n v="7.2702007565953064"/>
    <x v="5"/>
    <x v="15"/>
    <x v="3"/>
    <x v="1"/>
    <x v="1"/>
  </r>
  <r>
    <s v="CID63"/>
    <d v="2019-12-15T00:00:00"/>
    <x v="12"/>
    <x v="0"/>
    <s v="Kanpur"/>
    <x v="2"/>
    <x v="5"/>
    <n v="10.039999999999999"/>
    <n v="67.989999999999995"/>
    <n v="6771.47"/>
    <x v="0"/>
    <s v="Compost"/>
    <n v="299.89"/>
    <n v="872.28"/>
    <s v="Alluvial"/>
    <n v="28.64"/>
    <x v="53"/>
    <n v="2740.3209162097087"/>
    <n v="9.1377535636723763"/>
    <x v="0"/>
    <x v="11"/>
    <x v="5"/>
    <x v="1"/>
    <x v="0"/>
  </r>
  <r>
    <s v="CID64"/>
    <d v="2017-11-27T00:00:00"/>
    <x v="6"/>
    <x v="5"/>
    <s v="Bhagalpur"/>
    <x v="2"/>
    <x v="4"/>
    <n v="99.7"/>
    <n v="360.45"/>
    <n v="3615.31"/>
    <x v="1"/>
    <s v="DAP"/>
    <n v="292.26"/>
    <n v="670.01"/>
    <s v="Laterite"/>
    <n v="25"/>
    <x v="54"/>
    <n v="1463.0663078448433"/>
    <n v="5.0060436181647967"/>
    <x v="5"/>
    <x v="15"/>
    <x v="4"/>
    <x v="2"/>
    <x v="0"/>
  </r>
  <r>
    <s v="CID65"/>
    <d v="2022-02-12T00:00:00"/>
    <x v="8"/>
    <x v="2"/>
    <s v="Pune"/>
    <x v="2"/>
    <x v="0"/>
    <n v="66.599999999999994"/>
    <n v="226.62"/>
    <n v="3402.71"/>
    <x v="0"/>
    <s v="Vermicompost"/>
    <n v="163.71"/>
    <n v="514.52"/>
    <s v="Alluvial"/>
    <n v="21.74"/>
    <x v="55"/>
    <n v="1377.0300074866959"/>
    <n v="8.4113982498729207"/>
    <x v="2"/>
    <x v="2"/>
    <x v="0"/>
    <x v="3"/>
    <x v="0"/>
  </r>
  <r>
    <s v="CID66"/>
    <d v="2020-04-14T00:00:00"/>
    <x v="11"/>
    <x v="4"/>
    <s v="Kolkata"/>
    <x v="0"/>
    <x v="3"/>
    <n v="41.91"/>
    <n v="89.08"/>
    <n v="2125.5"/>
    <x v="2"/>
    <s v="NPK"/>
    <n v="205.66"/>
    <n v="698.49"/>
    <s v="Laterite"/>
    <n v="31.4"/>
    <x v="56"/>
    <n v="860.16066044798765"/>
    <n v="4.1824402433530468"/>
    <x v="4"/>
    <x v="4"/>
    <x v="3"/>
    <x v="4"/>
    <x v="1"/>
  </r>
  <r>
    <s v="CID67"/>
    <d v="2014-11-24T00:00:00"/>
    <x v="9"/>
    <x v="5"/>
    <s v="Patna"/>
    <x v="2"/>
    <x v="2"/>
    <n v="48.99"/>
    <n v="57.48"/>
    <n v="1173.22"/>
    <x v="3"/>
    <s v="DAP"/>
    <n v="227.45"/>
    <n v="510.75"/>
    <s v="Black"/>
    <n v="28.28"/>
    <x v="39"/>
    <n v="474.78602213633883"/>
    <n v="2.0874303017645146"/>
    <x v="5"/>
    <x v="7"/>
    <x v="2"/>
    <x v="2"/>
    <x v="1"/>
  </r>
  <r>
    <s v="CID68"/>
    <d v="2017-08-02T00:00:00"/>
    <x v="6"/>
    <x v="4"/>
    <s v="Kolkata"/>
    <x v="1"/>
    <x v="2"/>
    <n v="83.38"/>
    <n v="332.71"/>
    <n v="3990.25"/>
    <x v="2"/>
    <s v="Compost"/>
    <n v="177.22"/>
    <n v="473.42"/>
    <s v="Laterite"/>
    <n v="34.700000000000003"/>
    <x v="57"/>
    <n v="1614.7993767831488"/>
    <n v="9.1118348763296968"/>
    <x v="4"/>
    <x v="4"/>
    <x v="2"/>
    <x v="1"/>
    <x v="1"/>
  </r>
  <r>
    <s v="CID69"/>
    <d v="2016-10-08T00:00:00"/>
    <x v="4"/>
    <x v="5"/>
    <s v="Patna"/>
    <x v="1"/>
    <x v="1"/>
    <n v="51.32"/>
    <n v="322.08"/>
    <n v="6275.96"/>
    <x v="0"/>
    <s v="NPK"/>
    <n v="119.06"/>
    <n v="990.01"/>
    <s v="Laterite"/>
    <n v="25.1"/>
    <x v="14"/>
    <n v="2539.7948240626456"/>
    <n v="21.33205798809546"/>
    <x v="5"/>
    <x v="7"/>
    <x v="1"/>
    <x v="4"/>
    <x v="0"/>
  </r>
  <r>
    <s v="CID70"/>
    <d v="2014-05-06T00:00:00"/>
    <x v="9"/>
    <x v="4"/>
    <s v="Kolkata"/>
    <x v="0"/>
    <x v="0"/>
    <n v="83.91"/>
    <n v="375.88"/>
    <n v="4479.54"/>
    <x v="1"/>
    <s v="Vermicompost"/>
    <n v="266.32"/>
    <n v="646.54999999999995"/>
    <s v="Laterite"/>
    <n v="25.18"/>
    <x v="58"/>
    <n v="1812.808320349649"/>
    <n v="6.806880145500334"/>
    <x v="4"/>
    <x v="4"/>
    <x v="0"/>
    <x v="3"/>
    <x v="0"/>
  </r>
  <r>
    <s v="CID71"/>
    <d v="2015-07-09T00:00:00"/>
    <x v="10"/>
    <x v="3"/>
    <s v="Mysore"/>
    <x v="1"/>
    <x v="2"/>
    <n v="24.64"/>
    <n v="81.260000000000005"/>
    <n v="3297.83"/>
    <x v="1"/>
    <s v="Compost"/>
    <n v="60.91"/>
    <n v="944.71"/>
    <s v="Laterite"/>
    <n v="25.79"/>
    <x v="23"/>
    <n v="1334.5865118067218"/>
    <n v="21.910794808844557"/>
    <x v="3"/>
    <x v="5"/>
    <x v="2"/>
    <x v="1"/>
    <x v="1"/>
  </r>
  <r>
    <s v="CID72"/>
    <d v="2018-04-27T00:00:00"/>
    <x v="3"/>
    <x v="1"/>
    <s v="Ludhiana"/>
    <x v="0"/>
    <x v="0"/>
    <n v="87.1"/>
    <n v="543.95000000000005"/>
    <n v="6245.14"/>
    <x v="1"/>
    <s v="DAP"/>
    <n v="74.930000000000007"/>
    <n v="1110.44"/>
    <s v="Black"/>
    <n v="30.84"/>
    <x v="59"/>
    <n v="2527.3223933145832"/>
    <n v="33.729112415782502"/>
    <x v="1"/>
    <x v="1"/>
    <x v="0"/>
    <x v="2"/>
    <x v="0"/>
  </r>
  <r>
    <s v="CID73"/>
    <d v="2023-01-21T00:00:00"/>
    <x v="7"/>
    <x v="1"/>
    <s v="Amritsar"/>
    <x v="2"/>
    <x v="0"/>
    <n v="62.7"/>
    <n v="212.23"/>
    <n v="3384.9"/>
    <x v="0"/>
    <s v="Compost"/>
    <n v="262.94"/>
    <n v="1052.3399999999999"/>
    <s v="Sandy"/>
    <n v="25.7"/>
    <x v="60"/>
    <n v="1369.8225450719331"/>
    <n v="5.209639252574477"/>
    <x v="1"/>
    <x v="14"/>
    <x v="0"/>
    <x v="1"/>
    <x v="0"/>
  </r>
  <r>
    <s v="CID74"/>
    <d v="2010-05-19T00:00:00"/>
    <x v="0"/>
    <x v="4"/>
    <s v="Darjeeling"/>
    <x v="0"/>
    <x v="5"/>
    <n v="24.24"/>
    <n v="123.78"/>
    <n v="5106.3999999999996"/>
    <x v="2"/>
    <s v="Urea"/>
    <n v="299.36"/>
    <n v="946.77"/>
    <s v="Laterite"/>
    <n v="34.68"/>
    <x v="61"/>
    <n v="2066.4899536634225"/>
    <n v="6.9030263016549389"/>
    <x v="4"/>
    <x v="9"/>
    <x v="5"/>
    <x v="0"/>
    <x v="0"/>
  </r>
  <r>
    <s v="CID75"/>
    <d v="2022-03-25T00:00:00"/>
    <x v="8"/>
    <x v="3"/>
    <s v="Bangalore"/>
    <x v="2"/>
    <x v="5"/>
    <n v="5.55"/>
    <n v="32.06"/>
    <n v="5776.86"/>
    <x v="2"/>
    <s v="DAP"/>
    <n v="139.62"/>
    <n v="630.69000000000005"/>
    <s v="Red"/>
    <n v="27.97"/>
    <x v="45"/>
    <n v="2337.8159082171546"/>
    <n v="16.744133420836231"/>
    <x v="3"/>
    <x v="3"/>
    <x v="5"/>
    <x v="2"/>
    <x v="0"/>
  </r>
  <r>
    <s v="CID76"/>
    <d v="2011-04-01T00:00:00"/>
    <x v="5"/>
    <x v="6"/>
    <s v="Gurgaon"/>
    <x v="0"/>
    <x v="3"/>
    <n v="62.35"/>
    <n v="152.44"/>
    <n v="2444.98"/>
    <x v="3"/>
    <s v="Compost"/>
    <n v="108.05"/>
    <n v="837.9"/>
    <s v="Laterite"/>
    <n v="23.83"/>
    <x v="62"/>
    <n v="989.44982902005222"/>
    <n v="9.1573329849148752"/>
    <x v="6"/>
    <x v="17"/>
    <x v="3"/>
    <x v="1"/>
    <x v="1"/>
  </r>
  <r>
    <s v="CID77"/>
    <d v="2018-08-17T00:00:00"/>
    <x v="3"/>
    <x v="2"/>
    <s v="Mumbai"/>
    <x v="1"/>
    <x v="5"/>
    <n v="44.73"/>
    <n v="137.47"/>
    <n v="3073.39"/>
    <x v="2"/>
    <s v="DAP"/>
    <n v="209.73"/>
    <n v="624.30999999999995"/>
    <s v="Alluvial"/>
    <n v="26.85"/>
    <x v="63"/>
    <n v="1243.7587260476316"/>
    <n v="5.930285252694568"/>
    <x v="2"/>
    <x v="19"/>
    <x v="5"/>
    <x v="2"/>
    <x v="0"/>
  </r>
  <r>
    <s v="CID78"/>
    <d v="2011-10-23T00:00:00"/>
    <x v="5"/>
    <x v="3"/>
    <s v="Mysore"/>
    <x v="1"/>
    <x v="3"/>
    <n v="57.62"/>
    <n v="256.33999999999997"/>
    <n v="4448.87"/>
    <x v="2"/>
    <s v="Urea"/>
    <n v="55.48"/>
    <n v="1030.04"/>
    <s v="Laterite"/>
    <n v="24.12"/>
    <x v="64"/>
    <n v="1800.3965925416321"/>
    <n v="32.451272396208225"/>
    <x v="3"/>
    <x v="5"/>
    <x v="3"/>
    <x v="0"/>
    <x v="1"/>
  </r>
  <r>
    <s v="CID79"/>
    <d v="2017-11-11T00:00:00"/>
    <x v="6"/>
    <x v="5"/>
    <s v="Bhagalpur"/>
    <x v="2"/>
    <x v="4"/>
    <n v="61.1"/>
    <n v="190.26"/>
    <n v="3113.93"/>
    <x v="3"/>
    <s v="NPK"/>
    <n v="205.22"/>
    <n v="877.76"/>
    <s v="Red"/>
    <n v="29.42"/>
    <x v="54"/>
    <n v="1260.1647073106574"/>
    <n v="6.1405550497546892"/>
    <x v="5"/>
    <x v="15"/>
    <x v="4"/>
    <x v="4"/>
    <x v="0"/>
  </r>
  <r>
    <s v="CID80"/>
    <d v="2010-05-05T00:00:00"/>
    <x v="0"/>
    <x v="4"/>
    <s v="Howrah"/>
    <x v="0"/>
    <x v="0"/>
    <n v="73.5"/>
    <n v="113.25"/>
    <n v="1540.8"/>
    <x v="2"/>
    <s v="NPK"/>
    <n v="131.68"/>
    <n v="615.5"/>
    <s v="Red"/>
    <n v="21.98"/>
    <x v="61"/>
    <n v="623.5406001497339"/>
    <n v="4.7352718723400207"/>
    <x v="4"/>
    <x v="16"/>
    <x v="0"/>
    <x v="4"/>
    <x v="0"/>
  </r>
  <r>
    <s v="CID81"/>
    <d v="2014-06-20T00:00:00"/>
    <x v="9"/>
    <x v="5"/>
    <s v="Bhagalpur"/>
    <x v="1"/>
    <x v="0"/>
    <n v="91.49"/>
    <n v="609.79"/>
    <n v="6665.13"/>
    <x v="2"/>
    <s v="DAP"/>
    <n v="236.64"/>
    <n v="538.72"/>
    <s v="Black"/>
    <n v="27.02"/>
    <x v="65"/>
    <n v="2697.2865785799559"/>
    <n v="11.398269855391971"/>
    <x v="5"/>
    <x v="15"/>
    <x v="0"/>
    <x v="2"/>
    <x v="0"/>
  </r>
  <r>
    <s v="CID82"/>
    <d v="2020-04-30T00:00:00"/>
    <x v="11"/>
    <x v="4"/>
    <s v="Kolkata"/>
    <x v="0"/>
    <x v="2"/>
    <n v="98.01"/>
    <n v="666.82"/>
    <n v="6803.62"/>
    <x v="2"/>
    <s v="NPK"/>
    <n v="72.58"/>
    <n v="594.57000000000005"/>
    <s v="Alluvial"/>
    <n v="28.05"/>
    <x v="56"/>
    <n v="2753.3315796928432"/>
    <n v="37.935127854682328"/>
    <x v="4"/>
    <x v="4"/>
    <x v="2"/>
    <x v="4"/>
    <x v="1"/>
  </r>
  <r>
    <s v="CID83"/>
    <d v="2021-03-24T00:00:00"/>
    <x v="11"/>
    <x v="0"/>
    <s v="Varanasi"/>
    <x v="2"/>
    <x v="1"/>
    <n v="38.72"/>
    <n v="187.07"/>
    <n v="4831.3"/>
    <x v="2"/>
    <s v="NPK"/>
    <n v="77.09"/>
    <n v="433.82"/>
    <s v="Black"/>
    <n v="29.29"/>
    <x v="34"/>
    <n v="1955.1607616195545"/>
    <n v="25.362054243346147"/>
    <x v="0"/>
    <x v="6"/>
    <x v="1"/>
    <x v="4"/>
    <x v="0"/>
  </r>
  <r>
    <s v="CID84"/>
    <d v="2020-08-17T00:00:00"/>
    <x v="11"/>
    <x v="5"/>
    <s v="Patna"/>
    <x v="1"/>
    <x v="2"/>
    <n v="82.56"/>
    <n v="533.03"/>
    <n v="6456.33"/>
    <x v="2"/>
    <s v="Compost"/>
    <n v="212.31"/>
    <n v="316.68"/>
    <s v="Black"/>
    <n v="34.19"/>
    <x v="66"/>
    <n v="2612.7880860363002"/>
    <n v="12.306476784118978"/>
    <x v="5"/>
    <x v="7"/>
    <x v="2"/>
    <x v="1"/>
    <x v="1"/>
  </r>
  <r>
    <s v="CID85"/>
    <d v="2013-05-24T00:00:00"/>
    <x v="1"/>
    <x v="1"/>
    <s v="Ludhiana"/>
    <x v="0"/>
    <x v="4"/>
    <n v="39.479999999999997"/>
    <n v="127.37"/>
    <n v="3226.07"/>
    <x v="1"/>
    <s v="Compost"/>
    <n v="196.84"/>
    <n v="926.6"/>
    <s v="Laterite"/>
    <n v="29.82"/>
    <x v="67"/>
    <n v="1305.5462252888449"/>
    <n v="6.6325250217884824"/>
    <x v="1"/>
    <x v="1"/>
    <x v="4"/>
    <x v="1"/>
    <x v="0"/>
  </r>
  <r>
    <s v="CID86"/>
    <d v="2014-08-31T00:00:00"/>
    <x v="9"/>
    <x v="5"/>
    <s v="Gaya"/>
    <x v="1"/>
    <x v="2"/>
    <n v="37.68"/>
    <n v="137.91999999999999"/>
    <n v="3660.3"/>
    <x v="3"/>
    <s v="Urea"/>
    <n v="263.86"/>
    <n v="299.35000000000002"/>
    <s v="Alluvial"/>
    <n v="28.17"/>
    <x v="68"/>
    <n v="1481.2731429958926"/>
    <n v="5.6138601644655974"/>
    <x v="5"/>
    <x v="8"/>
    <x v="2"/>
    <x v="0"/>
    <x v="1"/>
  </r>
  <r>
    <s v="CID87"/>
    <d v="2013-07-23T00:00:00"/>
    <x v="1"/>
    <x v="3"/>
    <s v="Mysore"/>
    <x v="1"/>
    <x v="3"/>
    <n v="10.08"/>
    <n v="22.91"/>
    <n v="2272.63"/>
    <x v="0"/>
    <s v="Urea"/>
    <n v="62.64"/>
    <n v="533.51"/>
    <s v="Red"/>
    <n v="31.8"/>
    <x v="69"/>
    <n v="919.70215090750901"/>
    <n v="14.682345959570705"/>
    <x v="3"/>
    <x v="5"/>
    <x v="3"/>
    <x v="0"/>
    <x v="1"/>
  </r>
  <r>
    <s v="CID88"/>
    <d v="2013-04-10T00:00:00"/>
    <x v="1"/>
    <x v="4"/>
    <s v="Darjeeling"/>
    <x v="0"/>
    <x v="4"/>
    <n v="81.489999999999995"/>
    <n v="195.41"/>
    <n v="2397.9899999999998"/>
    <x v="3"/>
    <s v="DAP"/>
    <n v="247.16"/>
    <n v="795.98"/>
    <s v="Alluvial"/>
    <n v="32.880000000000003"/>
    <x v="1"/>
    <n v="970.43362133505991"/>
    <n v="3.9263376814009545"/>
    <x v="4"/>
    <x v="9"/>
    <x v="4"/>
    <x v="2"/>
    <x v="0"/>
  </r>
  <r>
    <s v="CID89"/>
    <d v="2022-07-15T00:00:00"/>
    <x v="7"/>
    <x v="5"/>
    <s v="Gaya"/>
    <x v="1"/>
    <x v="5"/>
    <n v="66.44"/>
    <n v="76.72"/>
    <n v="1154.68"/>
    <x v="0"/>
    <s v="NPK"/>
    <n v="139.56"/>
    <n v="988.43"/>
    <s v="Sandy"/>
    <n v="24.86"/>
    <x v="70"/>
    <n v="467.28313874668669"/>
    <n v="3.3482598075858889"/>
    <x v="5"/>
    <x v="8"/>
    <x v="5"/>
    <x v="4"/>
    <x v="0"/>
  </r>
  <r>
    <s v="CID90"/>
    <d v="2021-12-27T00:00:00"/>
    <x v="8"/>
    <x v="1"/>
    <s v="Ludhiana"/>
    <x v="2"/>
    <x v="1"/>
    <n v="12.25"/>
    <n v="16.920000000000002"/>
    <n v="1381.35"/>
    <x v="1"/>
    <s v="Vermicompost"/>
    <n v="244.5"/>
    <n v="713.24"/>
    <s v="Black"/>
    <n v="26.78"/>
    <x v="71"/>
    <n v="559.01337488112335"/>
    <n v="2.2863532714974371"/>
    <x v="1"/>
    <x v="1"/>
    <x v="1"/>
    <x v="3"/>
    <x v="0"/>
  </r>
  <r>
    <s v="CID91"/>
    <d v="2022-04-07T00:00:00"/>
    <x v="7"/>
    <x v="1"/>
    <s v="Patiala"/>
    <x v="0"/>
    <x v="1"/>
    <n v="30.86"/>
    <n v="149.97999999999999"/>
    <n v="4860.04"/>
    <x v="0"/>
    <s v="Compost"/>
    <n v="65.209999999999994"/>
    <n v="678.98"/>
    <s v="Laterite"/>
    <n v="26.39"/>
    <x v="72"/>
    <n v="1966.7914449323162"/>
    <n v="30.160887056161883"/>
    <x v="1"/>
    <x v="10"/>
    <x v="1"/>
    <x v="1"/>
    <x v="0"/>
  </r>
  <r>
    <s v="CID92"/>
    <d v="2011-10-31T00:00:00"/>
    <x v="5"/>
    <x v="0"/>
    <s v="Kanpur"/>
    <x v="1"/>
    <x v="0"/>
    <n v="61.22"/>
    <n v="85.35"/>
    <n v="1394.09"/>
    <x v="2"/>
    <s v="Vermicompost"/>
    <n v="206.08"/>
    <n v="785.36"/>
    <s v="Alluvial"/>
    <n v="25.71"/>
    <x v="64"/>
    <n v="564.16907792234065"/>
    <n v="2.7376216902287491"/>
    <x v="0"/>
    <x v="11"/>
    <x v="0"/>
    <x v="3"/>
    <x v="0"/>
  </r>
  <r>
    <s v="CID93"/>
    <d v="2018-04-30T00:00:00"/>
    <x v="3"/>
    <x v="2"/>
    <s v="Pune"/>
    <x v="0"/>
    <x v="3"/>
    <n v="10.82"/>
    <n v="56.38"/>
    <n v="5210.68"/>
    <x v="3"/>
    <s v="Compost"/>
    <n v="157.52000000000001"/>
    <n v="1088.0899999999999"/>
    <s v="Laterite"/>
    <n v="25.08"/>
    <x v="59"/>
    <n v="2108.6906375832136"/>
    <n v="13.386812072011258"/>
    <x v="2"/>
    <x v="2"/>
    <x v="3"/>
    <x v="1"/>
    <x v="1"/>
  </r>
  <r>
    <s v="CID94"/>
    <d v="2011-11-24T00:00:00"/>
    <x v="5"/>
    <x v="3"/>
    <s v="Hubli"/>
    <x v="2"/>
    <x v="3"/>
    <n v="31.94"/>
    <n v="80.790000000000006"/>
    <n v="2529.34"/>
    <x v="3"/>
    <s v="Compost"/>
    <n v="221.71"/>
    <n v="674.27"/>
    <s v="Black"/>
    <n v="32.479999999999997"/>
    <x v="73"/>
    <n v="1023.5891625017706"/>
    <n v="4.6167929389823215"/>
    <x v="3"/>
    <x v="12"/>
    <x v="3"/>
    <x v="1"/>
    <x v="1"/>
  </r>
  <r>
    <s v="CID95"/>
    <d v="2021-11-14T00:00:00"/>
    <x v="8"/>
    <x v="1"/>
    <s v="Patiala"/>
    <x v="2"/>
    <x v="4"/>
    <n v="56.08"/>
    <n v="253.41"/>
    <n v="4518.79"/>
    <x v="2"/>
    <s v="NPK"/>
    <n v="217.5"/>
    <n v="610.80999999999995"/>
    <s v="Laterite"/>
    <n v="33.020000000000003"/>
    <x v="74"/>
    <n v="1828.6922563282815"/>
    <n v="8.4077804888656615"/>
    <x v="1"/>
    <x v="10"/>
    <x v="4"/>
    <x v="4"/>
    <x v="0"/>
  </r>
  <r>
    <s v="CID96"/>
    <d v="2015-08-11T00:00:00"/>
    <x v="10"/>
    <x v="5"/>
    <s v="Gaya"/>
    <x v="1"/>
    <x v="1"/>
    <n v="51.23"/>
    <n v="98.79"/>
    <n v="1928.38"/>
    <x v="1"/>
    <s v="Vermicompost"/>
    <n v="106.06"/>
    <n v="308.22000000000003"/>
    <s v="Sandy"/>
    <n v="25.51"/>
    <x v="75"/>
    <n v="780.38890350255974"/>
    <n v="7.3579945644216451"/>
    <x v="5"/>
    <x v="8"/>
    <x v="1"/>
    <x v="3"/>
    <x v="0"/>
  </r>
  <r>
    <s v="CID97"/>
    <d v="2018-04-23T00:00:00"/>
    <x v="3"/>
    <x v="6"/>
    <s v="Faridabad"/>
    <x v="0"/>
    <x v="1"/>
    <n v="67.819999999999993"/>
    <n v="294.37"/>
    <n v="4340.4399999999996"/>
    <x v="2"/>
    <s v="Urea"/>
    <n v="57.24"/>
    <n v="473.27"/>
    <s v="Alluvial"/>
    <n v="33.82"/>
    <x v="59"/>
    <n v="1756.516460613909"/>
    <n v="30.686870381095545"/>
    <x v="6"/>
    <x v="18"/>
    <x v="1"/>
    <x v="0"/>
    <x v="0"/>
  </r>
  <r>
    <s v="CID98"/>
    <d v="2019-04-22T00:00:00"/>
    <x v="12"/>
    <x v="6"/>
    <s v="Gurgaon"/>
    <x v="0"/>
    <x v="3"/>
    <n v="7.89"/>
    <n v="42.97"/>
    <n v="5445.81"/>
    <x v="0"/>
    <s v="DAP"/>
    <n v="72.94"/>
    <n v="730.48"/>
    <s v="Laterite"/>
    <n v="26.3"/>
    <x v="38"/>
    <n v="2203.8445195362297"/>
    <n v="30.21448477565437"/>
    <x v="6"/>
    <x v="17"/>
    <x v="3"/>
    <x v="2"/>
    <x v="1"/>
  </r>
  <r>
    <s v="CID99"/>
    <d v="2022-02-17T00:00:00"/>
    <x v="8"/>
    <x v="2"/>
    <s v="Pune"/>
    <x v="2"/>
    <x v="1"/>
    <n v="60.03"/>
    <n v="378.19"/>
    <n v="6300.05"/>
    <x v="3"/>
    <s v="Compost"/>
    <n v="89.35"/>
    <n v="817.84"/>
    <s v="Black"/>
    <n v="24.08"/>
    <x v="55"/>
    <n v="2549.5437162339899"/>
    <n v="28.534344893497369"/>
    <x v="2"/>
    <x v="2"/>
    <x v="1"/>
    <x v="1"/>
    <x v="0"/>
  </r>
  <r>
    <s v="CID100"/>
    <d v="2017-01-18T00:00:00"/>
    <x v="4"/>
    <x v="5"/>
    <s v="Gaya"/>
    <x v="2"/>
    <x v="4"/>
    <n v="75.739999999999995"/>
    <n v="127.46"/>
    <n v="1682.91"/>
    <x v="1"/>
    <s v="Urea"/>
    <n v="77.72"/>
    <n v="878.22"/>
    <s v="Sandy"/>
    <n v="27.3"/>
    <x v="76"/>
    <n v="681.05056554905809"/>
    <n v="8.7628739777284874"/>
    <x v="5"/>
    <x v="8"/>
    <x v="4"/>
    <x v="0"/>
    <x v="0"/>
  </r>
  <r>
    <s v="CID101"/>
    <d v="2019-09-19T00:00:00"/>
    <x v="12"/>
    <x v="6"/>
    <s v="Faridabad"/>
    <x v="1"/>
    <x v="5"/>
    <n v="21.24"/>
    <n v="141.71"/>
    <n v="6671.94"/>
    <x v="3"/>
    <s v="DAP"/>
    <n v="241.04"/>
    <n v="489.45"/>
    <s v="Black"/>
    <n v="20.12"/>
    <x v="77"/>
    <n v="2700.0424920580317"/>
    <n v="11.201636624867374"/>
    <x v="6"/>
    <x v="18"/>
    <x v="5"/>
    <x v="2"/>
    <x v="0"/>
  </r>
  <r>
    <s v="CID102"/>
    <d v="2018-04-30T00:00:00"/>
    <x v="3"/>
    <x v="6"/>
    <s v="Faridabad"/>
    <x v="0"/>
    <x v="4"/>
    <n v="50.53"/>
    <n v="303.19"/>
    <n v="6000.13"/>
    <x v="2"/>
    <s v="Urea"/>
    <n v="68.02"/>
    <n v="1061.76"/>
    <s v="Black"/>
    <n v="26.54"/>
    <x v="59"/>
    <n v="2428.1702110438882"/>
    <n v="35.697886078269455"/>
    <x v="6"/>
    <x v="18"/>
    <x v="4"/>
    <x v="0"/>
    <x v="0"/>
  </r>
  <r>
    <s v="CID103"/>
    <d v="2020-02-26T00:00:00"/>
    <x v="12"/>
    <x v="4"/>
    <s v="Howrah"/>
    <x v="2"/>
    <x v="1"/>
    <n v="41.04"/>
    <n v="198.67"/>
    <n v="4840.8500000000004"/>
    <x v="2"/>
    <s v="NPK"/>
    <n v="78.790000000000006"/>
    <n v="220.86"/>
    <s v="Alluvial"/>
    <n v="22.58"/>
    <x v="78"/>
    <n v="1959.0255154691326"/>
    <n v="24.863885207121875"/>
    <x v="4"/>
    <x v="16"/>
    <x v="1"/>
    <x v="4"/>
    <x v="0"/>
  </r>
  <r>
    <s v="CID104"/>
    <d v="2011-07-14T00:00:00"/>
    <x v="5"/>
    <x v="1"/>
    <s v="Amritsar"/>
    <x v="1"/>
    <x v="3"/>
    <n v="59.3"/>
    <n v="245.73"/>
    <n v="4143.78"/>
    <x v="1"/>
    <s v="Urea"/>
    <n v="267.63"/>
    <n v="945.8"/>
    <s v="Red"/>
    <n v="25"/>
    <x v="6"/>
    <n v="1676.9308593512878"/>
    <n v="6.2658553202230234"/>
    <x v="1"/>
    <x v="14"/>
    <x v="3"/>
    <x v="0"/>
    <x v="1"/>
  </r>
  <r>
    <s v="CID105"/>
    <d v="2011-04-10T00:00:00"/>
    <x v="5"/>
    <x v="5"/>
    <s v="Bhagalpur"/>
    <x v="0"/>
    <x v="1"/>
    <n v="20.2"/>
    <n v="114.28"/>
    <n v="5657.37"/>
    <x v="2"/>
    <s v="NPK"/>
    <n v="231.84"/>
    <n v="1018.95"/>
    <s v="Red"/>
    <n v="23.54"/>
    <x v="62"/>
    <n v="2289.4599461767266"/>
    <n v="9.8751723006242518"/>
    <x v="5"/>
    <x v="15"/>
    <x v="1"/>
    <x v="4"/>
    <x v="0"/>
  </r>
  <r>
    <s v="CID106"/>
    <d v="2019-10-23T00:00:00"/>
    <x v="12"/>
    <x v="6"/>
    <s v="Gurgaon"/>
    <x v="1"/>
    <x v="2"/>
    <n v="8.4600000000000009"/>
    <n v="56.75"/>
    <n v="6707.75"/>
    <x v="1"/>
    <s v="Vermicompost"/>
    <n v="165.99"/>
    <n v="763.74"/>
    <s v="Sandy"/>
    <n v="26.73"/>
    <x v="79"/>
    <n v="2714.5343072782825"/>
    <n v="16.353601465620113"/>
    <x v="6"/>
    <x v="17"/>
    <x v="2"/>
    <x v="3"/>
    <x v="1"/>
  </r>
  <r>
    <s v="CID107"/>
    <d v="2015-08-19T00:00:00"/>
    <x v="10"/>
    <x v="2"/>
    <s v="Mumbai"/>
    <x v="1"/>
    <x v="3"/>
    <n v="7.76"/>
    <n v="28.35"/>
    <n v="3653.25"/>
    <x v="2"/>
    <s v="Compost"/>
    <n v="249.08"/>
    <n v="791.42"/>
    <s v="Alluvial"/>
    <n v="27.61"/>
    <x v="75"/>
    <n v="1478.4201048137431"/>
    <n v="5.9355231444264618"/>
    <x v="2"/>
    <x v="19"/>
    <x v="3"/>
    <x v="1"/>
    <x v="1"/>
  </r>
  <r>
    <s v="CID108"/>
    <d v="2010-11-11T00:00:00"/>
    <x v="0"/>
    <x v="3"/>
    <s v="Bangalore"/>
    <x v="2"/>
    <x v="0"/>
    <n v="8.6"/>
    <n v="53.2"/>
    <n v="6185.5"/>
    <x v="0"/>
    <s v="Compost"/>
    <n v="203.75"/>
    <n v="707.07"/>
    <s v="Laterite"/>
    <n v="28.7"/>
    <x v="80"/>
    <n v="2503.1869043524007"/>
    <n v="12.285579898662089"/>
    <x v="3"/>
    <x v="3"/>
    <x v="0"/>
    <x v="1"/>
    <x v="0"/>
  </r>
  <r>
    <s v="CID109"/>
    <d v="2020-06-22T00:00:00"/>
    <x v="11"/>
    <x v="4"/>
    <s v="Darjeeling"/>
    <x v="1"/>
    <x v="0"/>
    <n v="60.9"/>
    <n v="244.1"/>
    <n v="4008.2"/>
    <x v="0"/>
    <s v="Vermicompost"/>
    <n v="162.63"/>
    <n v="1010.97"/>
    <s v="Alluvial"/>
    <n v="34.74"/>
    <x v="81"/>
    <n v="1622.0634952752878"/>
    <n v="9.9739500416607498"/>
    <x v="4"/>
    <x v="9"/>
    <x v="0"/>
    <x v="3"/>
    <x v="0"/>
  </r>
  <r>
    <s v="CID110"/>
    <d v="2010-08-26T00:00:00"/>
    <x v="0"/>
    <x v="0"/>
    <s v="Lucknow"/>
    <x v="1"/>
    <x v="2"/>
    <n v="44.34"/>
    <n v="161.24"/>
    <n v="3636.53"/>
    <x v="3"/>
    <s v="Vermicompost"/>
    <n v="140.97"/>
    <n v="1117.94"/>
    <s v="Laterite"/>
    <n v="26.13"/>
    <x v="82"/>
    <n v="1471.6537504299793"/>
    <n v="10.439481807689432"/>
    <x v="0"/>
    <x v="0"/>
    <x v="2"/>
    <x v="3"/>
    <x v="1"/>
  </r>
  <r>
    <s v="CID111"/>
    <d v="2021-01-25T00:00:00"/>
    <x v="11"/>
    <x v="1"/>
    <s v="Patiala"/>
    <x v="2"/>
    <x v="5"/>
    <n v="33.64"/>
    <n v="146.26"/>
    <n v="4347.78"/>
    <x v="1"/>
    <s v="Urea"/>
    <n v="121.04"/>
    <n v="923.73"/>
    <s v="Sandy"/>
    <n v="33.1"/>
    <x v="43"/>
    <n v="1759.4868578134801"/>
    <n v="14.536408276714145"/>
    <x v="1"/>
    <x v="10"/>
    <x v="5"/>
    <x v="0"/>
    <x v="0"/>
  </r>
  <r>
    <s v="CID112"/>
    <d v="2013-02-05T00:00:00"/>
    <x v="2"/>
    <x v="5"/>
    <s v="Bhagalpur"/>
    <x v="2"/>
    <x v="0"/>
    <n v="96.8"/>
    <n v="502.48"/>
    <n v="5190.88"/>
    <x v="1"/>
    <s v="NPK"/>
    <n v="82.24"/>
    <n v="908.83"/>
    <s v="Black"/>
    <n v="24.64"/>
    <x v="15"/>
    <n v="2100.6778494971772"/>
    <n v="25.543261788632993"/>
    <x v="5"/>
    <x v="15"/>
    <x v="0"/>
    <x v="4"/>
    <x v="0"/>
  </r>
  <r>
    <s v="CID113"/>
    <d v="2020-04-20T00:00:00"/>
    <x v="11"/>
    <x v="4"/>
    <s v="Kolkata"/>
    <x v="0"/>
    <x v="2"/>
    <n v="99.72"/>
    <n v="645.66"/>
    <n v="6474.69"/>
    <x v="0"/>
    <s v="DAP"/>
    <n v="211.51"/>
    <n v="623.41"/>
    <s v="Alluvial"/>
    <n v="20.27"/>
    <x v="56"/>
    <n v="2620.2181258978976"/>
    <n v="12.388152455665915"/>
    <x v="4"/>
    <x v="4"/>
    <x v="2"/>
    <x v="2"/>
    <x v="1"/>
  </r>
  <r>
    <s v="CID114"/>
    <d v="2023-03-15T00:00:00"/>
    <x v="7"/>
    <x v="6"/>
    <s v="Faridabad"/>
    <x v="2"/>
    <x v="4"/>
    <n v="23.43"/>
    <n v="42.77"/>
    <n v="1825.39"/>
    <x v="0"/>
    <s v="Urea"/>
    <n v="123.95"/>
    <n v="988.12"/>
    <s v="Sandy"/>
    <n v="31.56"/>
    <x v="33"/>
    <n v="738.71026486716175"/>
    <n v="5.959743968270768"/>
    <x v="6"/>
    <x v="18"/>
    <x v="4"/>
    <x v="0"/>
    <x v="0"/>
  </r>
  <r>
    <s v="CID115"/>
    <d v="2022-04-03T00:00:00"/>
    <x v="7"/>
    <x v="0"/>
    <s v="Kanpur"/>
    <x v="0"/>
    <x v="4"/>
    <n v="60.13"/>
    <n v="115.78"/>
    <n v="1925.52"/>
    <x v="3"/>
    <s v="Compost"/>
    <n v="257.83999999999997"/>
    <n v="971.1"/>
    <s v="Red"/>
    <n v="30.82"/>
    <x v="72"/>
    <n v="779.23150077902108"/>
    <n v="3.0221513371820552"/>
    <x v="0"/>
    <x v="11"/>
    <x v="4"/>
    <x v="1"/>
    <x v="0"/>
  </r>
  <r>
    <s v="CID116"/>
    <d v="2021-07-20T00:00:00"/>
    <x v="8"/>
    <x v="2"/>
    <s v="Mumbai"/>
    <x v="1"/>
    <x v="3"/>
    <n v="61.45"/>
    <n v="338.86"/>
    <n v="5514.35"/>
    <x v="1"/>
    <s v="NPK"/>
    <n v="108.5"/>
    <n v="439.17"/>
    <s v="Laterite"/>
    <n v="33.56"/>
    <x v="40"/>
    <n v="2231.5817162744584"/>
    <n v="20.567573421884408"/>
    <x v="2"/>
    <x v="19"/>
    <x v="3"/>
    <x v="4"/>
    <x v="1"/>
  </r>
  <r>
    <s v="CID117"/>
    <d v="2018-01-04T00:00:00"/>
    <x v="6"/>
    <x v="0"/>
    <s v="Varanasi"/>
    <x v="2"/>
    <x v="0"/>
    <n v="78.03"/>
    <n v="313.48"/>
    <n v="4017.44"/>
    <x v="1"/>
    <s v="Urea"/>
    <n v="291.57"/>
    <n v="1016.89"/>
    <s v="Sandy"/>
    <n v="22.08"/>
    <x v="83"/>
    <n v="1625.8027963821048"/>
    <n v="5.5760290715166336"/>
    <x v="0"/>
    <x v="6"/>
    <x v="0"/>
    <x v="0"/>
    <x v="0"/>
  </r>
  <r>
    <s v="CID118"/>
    <d v="2015-05-03T00:00:00"/>
    <x v="10"/>
    <x v="0"/>
    <s v="Kanpur"/>
    <x v="0"/>
    <x v="5"/>
    <n v="71.430000000000007"/>
    <n v="292.54000000000002"/>
    <n v="4095.46"/>
    <x v="0"/>
    <s v="DAP"/>
    <n v="121.27"/>
    <n v="963.12"/>
    <s v="Alluvial"/>
    <n v="26.74"/>
    <x v="84"/>
    <n v="1657.3764189312235"/>
    <n v="13.666829545074821"/>
    <x v="0"/>
    <x v="11"/>
    <x v="5"/>
    <x v="2"/>
    <x v="0"/>
  </r>
  <r>
    <s v="CID119"/>
    <d v="2011-06-21T00:00:00"/>
    <x v="5"/>
    <x v="4"/>
    <s v="Howrah"/>
    <x v="1"/>
    <x v="3"/>
    <n v="88.58"/>
    <n v="583.11"/>
    <n v="6582.83"/>
    <x v="1"/>
    <s v="NPK"/>
    <n v="63.31"/>
    <n v="702.01"/>
    <s v="Red"/>
    <n v="25.79"/>
    <x v="85"/>
    <n v="2663.9808988081991"/>
    <n v="42.078358850232178"/>
    <x v="4"/>
    <x v="16"/>
    <x v="3"/>
    <x v="4"/>
    <x v="1"/>
  </r>
  <r>
    <s v="CID120"/>
    <d v="2015-07-06T00:00:00"/>
    <x v="10"/>
    <x v="6"/>
    <s v="Gurgaon"/>
    <x v="1"/>
    <x v="2"/>
    <n v="65.349999999999994"/>
    <n v="375.65"/>
    <n v="5748.28"/>
    <x v="3"/>
    <s v="Compost"/>
    <n v="59.58"/>
    <n v="1117.4000000000001"/>
    <s v="Laterite"/>
    <n v="30.44"/>
    <x v="23"/>
    <n v="2326.2499747071083"/>
    <n v="39.044141905120988"/>
    <x v="6"/>
    <x v="17"/>
    <x v="2"/>
    <x v="1"/>
    <x v="1"/>
  </r>
  <r>
    <s v="CID121"/>
    <d v="2010-08-01T00:00:00"/>
    <x v="0"/>
    <x v="3"/>
    <s v="Hubli"/>
    <x v="1"/>
    <x v="5"/>
    <n v="26.34"/>
    <n v="158.30000000000001"/>
    <n v="6009.78"/>
    <x v="1"/>
    <s v="Compost"/>
    <n v="77.8"/>
    <n v="488.1"/>
    <s v="Alluvial"/>
    <n v="21.83"/>
    <x v="82"/>
    <n v="2432.0754335201636"/>
    <n v="31.260609685349149"/>
    <x v="3"/>
    <x v="12"/>
    <x v="5"/>
    <x v="1"/>
    <x v="0"/>
  </r>
  <r>
    <s v="CID122"/>
    <d v="2017-06-01T00:00:00"/>
    <x v="6"/>
    <x v="0"/>
    <s v="Varanasi"/>
    <x v="1"/>
    <x v="5"/>
    <n v="83.83"/>
    <n v="335.23"/>
    <n v="3998.98"/>
    <x v="0"/>
    <s v="Vermicompost"/>
    <n v="207.99"/>
    <n v="775.05"/>
    <s v="Red"/>
    <n v="24.37"/>
    <x v="10"/>
    <n v="1618.3322878938104"/>
    <n v="7.7808177695745488"/>
    <x v="0"/>
    <x v="6"/>
    <x v="5"/>
    <x v="3"/>
    <x v="0"/>
  </r>
  <r>
    <s v="CID123"/>
    <d v="2020-03-09T00:00:00"/>
    <x v="12"/>
    <x v="2"/>
    <s v="Nagpur"/>
    <x v="2"/>
    <x v="4"/>
    <n v="66.77"/>
    <n v="101.07"/>
    <n v="1513.68"/>
    <x v="2"/>
    <s v="Vermicompost"/>
    <n v="66.92"/>
    <n v="726.06"/>
    <s v="Sandy"/>
    <n v="31.8"/>
    <x v="86"/>
    <n v="612.56550858946605"/>
    <n v="9.1536985742598027"/>
    <x v="2"/>
    <x v="13"/>
    <x v="4"/>
    <x v="3"/>
    <x v="0"/>
  </r>
  <r>
    <s v="CID124"/>
    <d v="2017-06-27T00:00:00"/>
    <x v="6"/>
    <x v="1"/>
    <s v="Amritsar"/>
    <x v="1"/>
    <x v="2"/>
    <n v="39.299999999999997"/>
    <n v="127.32"/>
    <n v="3239.81"/>
    <x v="0"/>
    <s v="Vermicompost"/>
    <n v="139.27000000000001"/>
    <n v="267.56"/>
    <s v="Red"/>
    <n v="30.99"/>
    <x v="10"/>
    <n v="1311.1066145970337"/>
    <n v="9.4141352380055547"/>
    <x v="1"/>
    <x v="14"/>
    <x v="2"/>
    <x v="3"/>
    <x v="1"/>
  </r>
  <r>
    <s v="CID125"/>
    <d v="2012-07-05T00:00:00"/>
    <x v="2"/>
    <x v="0"/>
    <s v="Kanpur"/>
    <x v="1"/>
    <x v="0"/>
    <n v="55.06"/>
    <n v="323.81"/>
    <n v="5881.05"/>
    <x v="3"/>
    <s v="Urea"/>
    <n v="257.60000000000002"/>
    <n v="884.68"/>
    <s v="Laterite"/>
    <n v="29.48"/>
    <x v="87"/>
    <n v="2379.9801703729186"/>
    <n v="9.2390534564166078"/>
    <x v="0"/>
    <x v="11"/>
    <x v="0"/>
    <x v="0"/>
    <x v="0"/>
  </r>
  <r>
    <s v="CID126"/>
    <d v="2011-03-20T00:00:00"/>
    <x v="0"/>
    <x v="0"/>
    <s v="Kanpur"/>
    <x v="2"/>
    <x v="4"/>
    <n v="5.34"/>
    <n v="11.73"/>
    <n v="2196.8200000000002"/>
    <x v="0"/>
    <s v="Compost"/>
    <n v="128.9"/>
    <n v="510.08"/>
    <s v="Laterite"/>
    <n v="34.840000000000003"/>
    <x v="88"/>
    <n v="889.02288500839734"/>
    <n v="6.8969967805151073"/>
    <x v="0"/>
    <x v="11"/>
    <x v="4"/>
    <x v="1"/>
    <x v="0"/>
  </r>
  <r>
    <s v="CID127"/>
    <d v="2022-04-28T00:00:00"/>
    <x v="7"/>
    <x v="2"/>
    <s v="Nagpur"/>
    <x v="0"/>
    <x v="4"/>
    <n v="29.32"/>
    <n v="180.99"/>
    <n v="6172.83"/>
    <x v="0"/>
    <s v="Compost"/>
    <n v="266.45"/>
    <n v="531.91999999999996"/>
    <s v="Black"/>
    <n v="31.99"/>
    <x v="72"/>
    <n v="2498.0595293498714"/>
    <n v="9.3753406993802653"/>
    <x v="2"/>
    <x v="13"/>
    <x v="4"/>
    <x v="1"/>
    <x v="0"/>
  </r>
  <r>
    <s v="CID128"/>
    <d v="2016-12-17T00:00:00"/>
    <x v="4"/>
    <x v="0"/>
    <s v="Kanpur"/>
    <x v="2"/>
    <x v="4"/>
    <n v="50.12"/>
    <n v="199.74"/>
    <n v="3985.14"/>
    <x v="2"/>
    <s v="Vermicompost"/>
    <n v="250.29"/>
    <n v="927.08"/>
    <s v="Black"/>
    <n v="26.46"/>
    <x v="4"/>
    <n v="1612.7314299589243"/>
    <n v="6.4434513163087797"/>
    <x v="0"/>
    <x v="11"/>
    <x v="4"/>
    <x v="3"/>
    <x v="0"/>
  </r>
  <r>
    <s v="CID129"/>
    <d v="2011-08-30T00:00:00"/>
    <x v="5"/>
    <x v="2"/>
    <s v="Pune"/>
    <x v="1"/>
    <x v="0"/>
    <n v="66.430000000000007"/>
    <n v="188.59"/>
    <n v="2838.98"/>
    <x v="1"/>
    <s v="Vermicompost"/>
    <n v="91.66"/>
    <n v="643.91"/>
    <s v="Laterite"/>
    <n v="20.64"/>
    <x v="89"/>
    <n v="1148.8962182068351"/>
    <n v="12.534324876792878"/>
    <x v="2"/>
    <x v="2"/>
    <x v="0"/>
    <x v="3"/>
    <x v="0"/>
  </r>
  <r>
    <s v="CID130"/>
    <d v="2020-09-21T00:00:00"/>
    <x v="11"/>
    <x v="3"/>
    <s v="Mysore"/>
    <x v="1"/>
    <x v="5"/>
    <n v="67.45"/>
    <n v="231.84"/>
    <n v="3437.26"/>
    <x v="3"/>
    <s v="Urea"/>
    <n v="288.2"/>
    <n v="342.78"/>
    <s v="Sandy"/>
    <n v="30.17"/>
    <x v="41"/>
    <n v="1391.0119180105623"/>
    <n v="4.8265507217576769"/>
    <x v="3"/>
    <x v="5"/>
    <x v="5"/>
    <x v="0"/>
    <x v="0"/>
  </r>
  <r>
    <s v="CID131"/>
    <d v="2013-05-19T00:00:00"/>
    <x v="1"/>
    <x v="6"/>
    <s v="Gurgaon"/>
    <x v="0"/>
    <x v="0"/>
    <n v="36.85"/>
    <n v="246.78"/>
    <n v="6696.8"/>
    <x v="0"/>
    <s v="Urea"/>
    <n v="201.27"/>
    <n v="879.06"/>
    <s v="Alluvial"/>
    <n v="25.58"/>
    <x v="67"/>
    <n v="2710.1029926549445"/>
    <n v="13.46501213620979"/>
    <x v="6"/>
    <x v="17"/>
    <x v="0"/>
    <x v="0"/>
    <x v="0"/>
  </r>
  <r>
    <s v="CID132"/>
    <d v="2019-03-24T00:00:00"/>
    <x v="3"/>
    <x v="5"/>
    <s v="Patna"/>
    <x v="2"/>
    <x v="3"/>
    <n v="32.119999999999997"/>
    <n v="85.83"/>
    <n v="2672.14"/>
    <x v="0"/>
    <s v="Urea"/>
    <n v="56.48"/>
    <n v="386.05"/>
    <s v="Sandy"/>
    <n v="25.8"/>
    <x v="90"/>
    <n v="1081.378361425305"/>
    <n v="19.146217447331889"/>
    <x v="5"/>
    <x v="7"/>
    <x v="3"/>
    <x v="0"/>
    <x v="1"/>
  </r>
  <r>
    <s v="CID133"/>
    <d v="2022-02-22T00:00:00"/>
    <x v="8"/>
    <x v="2"/>
    <s v="Pune"/>
    <x v="2"/>
    <x v="4"/>
    <n v="99.64"/>
    <n v="270.37"/>
    <n v="2713.46"/>
    <x v="1"/>
    <s v="Urea"/>
    <n v="100.04"/>
    <n v="335.73"/>
    <s v="Black"/>
    <n v="26.78"/>
    <x v="55"/>
    <n v="1098.0999979765686"/>
    <n v="10.976609336031272"/>
    <x v="2"/>
    <x v="2"/>
    <x v="4"/>
    <x v="0"/>
    <x v="0"/>
  </r>
  <r>
    <s v="CID134"/>
    <d v="2015-05-03T00:00:00"/>
    <x v="10"/>
    <x v="4"/>
    <s v="Darjeeling"/>
    <x v="0"/>
    <x v="0"/>
    <n v="71.239999999999995"/>
    <n v="306.33"/>
    <n v="4299.9799999999996"/>
    <x v="2"/>
    <s v="DAP"/>
    <n v="272.83"/>
    <n v="1051.3599999999999"/>
    <s v="Red"/>
    <n v="31.91"/>
    <x v="84"/>
    <n v="1740.1428542522408"/>
    <n v="6.3781213732076418"/>
    <x v="4"/>
    <x v="9"/>
    <x v="0"/>
    <x v="2"/>
    <x v="0"/>
  </r>
  <r>
    <s v="CID135"/>
    <d v="2022-06-23T00:00:00"/>
    <x v="7"/>
    <x v="1"/>
    <s v="Ludhiana"/>
    <x v="1"/>
    <x v="4"/>
    <n v="79.25"/>
    <n v="91.75"/>
    <n v="1157.7"/>
    <x v="2"/>
    <s v="Urea"/>
    <n v="166.85"/>
    <n v="1183.01"/>
    <s v="Red"/>
    <n v="29.18"/>
    <x v="24"/>
    <n v="468.50529127294067"/>
    <n v="2.807943010326285"/>
    <x v="1"/>
    <x v="1"/>
    <x v="4"/>
    <x v="0"/>
    <x v="0"/>
  </r>
  <r>
    <s v="CID136"/>
    <d v="2021-05-14T00:00:00"/>
    <x v="8"/>
    <x v="2"/>
    <s v="Pune"/>
    <x v="0"/>
    <x v="3"/>
    <n v="53.04"/>
    <n v="297.82"/>
    <n v="5614.99"/>
    <x v="0"/>
    <s v="Vermicompost"/>
    <n v="81.33"/>
    <n v="517.03"/>
    <s v="Black"/>
    <n v="26.75"/>
    <x v="91"/>
    <n v="2272.3093421824728"/>
    <n v="27.93937467333669"/>
    <x v="2"/>
    <x v="2"/>
    <x v="3"/>
    <x v="3"/>
    <x v="1"/>
  </r>
  <r>
    <s v="CID137"/>
    <d v="2022-05-04T00:00:00"/>
    <x v="7"/>
    <x v="2"/>
    <s v="Nagpur"/>
    <x v="0"/>
    <x v="2"/>
    <n v="59.19"/>
    <n v="331.86"/>
    <n v="5606.69"/>
    <x v="3"/>
    <s v="DAP"/>
    <n v="158.15"/>
    <n v="1110.71"/>
    <s v="Black"/>
    <n v="32.47"/>
    <x v="11"/>
    <n v="2268.9504461666093"/>
    <n v="14.346825457898255"/>
    <x v="2"/>
    <x v="13"/>
    <x v="2"/>
    <x v="2"/>
    <x v="1"/>
  </r>
  <r>
    <s v="CID138"/>
    <d v="2013-01-17T00:00:00"/>
    <x v="2"/>
    <x v="2"/>
    <s v="Nagpur"/>
    <x v="2"/>
    <x v="2"/>
    <n v="23.32"/>
    <n v="155.88999999999999"/>
    <n v="6684.9"/>
    <x v="2"/>
    <s v="Vermicompost"/>
    <n v="261.48"/>
    <n v="450.61"/>
    <s v="Sandy"/>
    <n v="24.12"/>
    <x v="20"/>
    <n v="2705.2872260779827"/>
    <n v="10.346057924422452"/>
    <x v="2"/>
    <x v="13"/>
    <x v="2"/>
    <x v="3"/>
    <x v="1"/>
  </r>
  <r>
    <s v="CID139"/>
    <d v="2018-05-30T00:00:00"/>
    <x v="3"/>
    <x v="5"/>
    <s v="Patna"/>
    <x v="0"/>
    <x v="4"/>
    <n v="59.59"/>
    <n v="267.19"/>
    <n v="4483.88"/>
    <x v="3"/>
    <s v="Vermicompost"/>
    <n v="214.68"/>
    <n v="920.63"/>
    <s v="Sandy"/>
    <n v="25.06"/>
    <x v="92"/>
    <n v="1814.5646587483054"/>
    <n v="8.4524159621217869"/>
    <x v="5"/>
    <x v="7"/>
    <x v="4"/>
    <x v="3"/>
    <x v="0"/>
  </r>
  <r>
    <s v="CID140"/>
    <d v="2011-10-18T00:00:00"/>
    <x v="5"/>
    <x v="1"/>
    <s v="Ludhiana"/>
    <x v="1"/>
    <x v="2"/>
    <n v="77.33"/>
    <n v="200.13"/>
    <n v="2587.94"/>
    <x v="3"/>
    <s v="NPK"/>
    <n v="241.74"/>
    <n v="616.59"/>
    <s v="Black"/>
    <n v="27.47"/>
    <x v="64"/>
    <n v="1047.3037777463021"/>
    <n v="4.3323561584607511"/>
    <x v="1"/>
    <x v="1"/>
    <x v="2"/>
    <x v="4"/>
    <x v="1"/>
  </r>
  <r>
    <s v="CID141"/>
    <d v="2017-07-07T00:00:00"/>
    <x v="6"/>
    <x v="0"/>
    <s v="Kanpur"/>
    <x v="1"/>
    <x v="2"/>
    <n v="41.2"/>
    <n v="153.32"/>
    <n v="3721.26"/>
    <x v="0"/>
    <s v="NPK"/>
    <n v="89.52"/>
    <n v="615.62"/>
    <s v="Laterite"/>
    <n v="23.06"/>
    <x v="25"/>
    <n v="1505.942817830477"/>
    <n v="16.82241753608665"/>
    <x v="0"/>
    <x v="11"/>
    <x v="2"/>
    <x v="4"/>
    <x v="1"/>
  </r>
  <r>
    <s v="CID142"/>
    <d v="2015-04-18T00:00:00"/>
    <x v="10"/>
    <x v="4"/>
    <s v="Darjeeling"/>
    <x v="0"/>
    <x v="0"/>
    <n v="97.56"/>
    <n v="174.11"/>
    <n v="1784.6"/>
    <x v="2"/>
    <s v="Compost"/>
    <n v="178.75"/>
    <n v="306.18"/>
    <s v="Red"/>
    <n v="27"/>
    <x v="93"/>
    <n v="722.203112037393"/>
    <n v="4.0402971302791215"/>
    <x v="4"/>
    <x v="9"/>
    <x v="0"/>
    <x v="1"/>
    <x v="0"/>
  </r>
  <r>
    <s v="CID143"/>
    <d v="2011-10-26T00:00:00"/>
    <x v="5"/>
    <x v="6"/>
    <s v="Gurgaon"/>
    <x v="1"/>
    <x v="0"/>
    <n v="94.59"/>
    <n v="585.04"/>
    <n v="6184.98"/>
    <x v="1"/>
    <s v="NPK"/>
    <n v="112.07"/>
    <n v="1065.31"/>
    <s v="Red"/>
    <n v="32.200000000000003"/>
    <x v="64"/>
    <n v="2502.9764674935755"/>
    <n v="22.334045395677485"/>
    <x v="6"/>
    <x v="17"/>
    <x v="0"/>
    <x v="4"/>
    <x v="0"/>
  </r>
  <r>
    <s v="CID144"/>
    <d v="2017-04-14T00:00:00"/>
    <x v="6"/>
    <x v="6"/>
    <s v="Gurgaon"/>
    <x v="0"/>
    <x v="3"/>
    <n v="50.38"/>
    <n v="143.65"/>
    <n v="2851.24"/>
    <x v="0"/>
    <s v="Vermicompost"/>
    <n v="72.510000000000005"/>
    <n v="593.24"/>
    <s v="Laterite"/>
    <n v="34.5"/>
    <x v="17"/>
    <n v="1153.8576718399061"/>
    <n v="15.913083324229843"/>
    <x v="6"/>
    <x v="17"/>
    <x v="3"/>
    <x v="3"/>
    <x v="1"/>
  </r>
  <r>
    <s v="CID145"/>
    <d v="2011-01-07T00:00:00"/>
    <x v="0"/>
    <x v="2"/>
    <s v="Nagpur"/>
    <x v="2"/>
    <x v="3"/>
    <n v="60.15"/>
    <n v="364.33"/>
    <n v="6057.1"/>
    <x v="1"/>
    <s v="NPK"/>
    <n v="121.44"/>
    <n v="208.18"/>
    <s v="Black"/>
    <n v="26.46"/>
    <x v="94"/>
    <n v="2451.2251876732566"/>
    <n v="20.184660636308109"/>
    <x v="2"/>
    <x v="13"/>
    <x v="3"/>
    <x v="4"/>
    <x v="1"/>
  </r>
  <r>
    <s v="CID146"/>
    <d v="2015-10-19T00:00:00"/>
    <x v="10"/>
    <x v="4"/>
    <s v="Howrah"/>
    <x v="1"/>
    <x v="3"/>
    <n v="6.06"/>
    <n v="26.49"/>
    <n v="4370.8999999999996"/>
    <x v="2"/>
    <s v="NPK"/>
    <n v="188.31"/>
    <n v="273.52999999999997"/>
    <s v="Sandy"/>
    <n v="26.76"/>
    <x v="19"/>
    <n v="1768.8432043058617"/>
    <n v="9.3932515761556044"/>
    <x v="4"/>
    <x v="16"/>
    <x v="3"/>
    <x v="4"/>
    <x v="1"/>
  </r>
  <r>
    <s v="CID147"/>
    <d v="2020-04-13T00:00:00"/>
    <x v="11"/>
    <x v="4"/>
    <s v="Darjeeling"/>
    <x v="0"/>
    <x v="5"/>
    <n v="13.74"/>
    <n v="21.71"/>
    <n v="1580.09"/>
    <x v="2"/>
    <s v="Vermicompost"/>
    <n v="248.72"/>
    <n v="539.09"/>
    <s v="Alluvial"/>
    <n v="31.32"/>
    <x v="56"/>
    <n v="639.44072357904531"/>
    <n v="2.5709260356185482"/>
    <x v="4"/>
    <x v="9"/>
    <x v="5"/>
    <x v="3"/>
    <x v="0"/>
  </r>
  <r>
    <s v="CID148"/>
    <d v="2018-08-21T00:00:00"/>
    <x v="3"/>
    <x v="5"/>
    <s v="Gaya"/>
    <x v="1"/>
    <x v="5"/>
    <n v="4.8499999999999996"/>
    <n v="25.62"/>
    <n v="5281.55"/>
    <x v="1"/>
    <s v="DAP"/>
    <n v="179.83"/>
    <n v="348.94"/>
    <s v="Sandy"/>
    <n v="22.1"/>
    <x v="63"/>
    <n v="2137.370753323486"/>
    <n v="11.885507164118811"/>
    <x v="5"/>
    <x v="8"/>
    <x v="5"/>
    <x v="2"/>
    <x v="0"/>
  </r>
  <r>
    <s v="CID149"/>
    <d v="2021-11-29T00:00:00"/>
    <x v="8"/>
    <x v="3"/>
    <s v="Hubli"/>
    <x v="2"/>
    <x v="1"/>
    <n v="34.299999999999997"/>
    <n v="204.76"/>
    <n v="5969.74"/>
    <x v="1"/>
    <s v="Compost"/>
    <n v="227.18"/>
    <n v="499.79"/>
    <s v="Black"/>
    <n v="25.53"/>
    <x v="74"/>
    <n v="2415.8717953906234"/>
    <n v="10.634174642973075"/>
    <x v="3"/>
    <x v="12"/>
    <x v="1"/>
    <x v="1"/>
    <x v="0"/>
  </r>
  <r>
    <s v="CID150"/>
    <d v="2022-05-17T00:00:00"/>
    <x v="7"/>
    <x v="5"/>
    <s v="Gaya"/>
    <x v="0"/>
    <x v="2"/>
    <n v="63.3"/>
    <n v="290.01"/>
    <n v="4581.46"/>
    <x v="2"/>
    <s v="Urea"/>
    <n v="291.77"/>
    <n v="982.9"/>
    <s v="Sandy"/>
    <n v="28.66"/>
    <x v="11"/>
    <n v="1854.0539446793873"/>
    <n v="6.3545050713897506"/>
    <x v="5"/>
    <x v="8"/>
    <x v="2"/>
    <x v="0"/>
    <x v="1"/>
  </r>
  <r>
    <s v="CID151"/>
    <d v="2012-05-15T00:00:00"/>
    <x v="2"/>
    <x v="5"/>
    <s v="Gaya"/>
    <x v="0"/>
    <x v="2"/>
    <n v="72.400000000000006"/>
    <n v="408.89"/>
    <n v="5647.64"/>
    <x v="1"/>
    <s v="Urea"/>
    <n v="86.94"/>
    <n v="880.73"/>
    <s v="Black"/>
    <n v="28.59"/>
    <x v="7"/>
    <n v="2285.5223487990938"/>
    <n v="26.288501826536621"/>
    <x v="5"/>
    <x v="8"/>
    <x v="2"/>
    <x v="0"/>
    <x v="1"/>
  </r>
  <r>
    <s v="CID152"/>
    <d v="2017-11-16T00:00:00"/>
    <x v="6"/>
    <x v="6"/>
    <s v="Gurgaon"/>
    <x v="2"/>
    <x v="3"/>
    <n v="15.99"/>
    <n v="82.24"/>
    <n v="5143"/>
    <x v="1"/>
    <s v="DAP"/>
    <n v="175.45"/>
    <n v="811.48"/>
    <s v="Laterite"/>
    <n v="33.090000000000003"/>
    <x v="54"/>
    <n v="2081.3014710345806"/>
    <n v="11.862647312821776"/>
    <x v="6"/>
    <x v="17"/>
    <x v="3"/>
    <x v="2"/>
    <x v="1"/>
  </r>
  <r>
    <s v="CID153"/>
    <d v="2019-01-07T00:00:00"/>
    <x v="3"/>
    <x v="5"/>
    <s v="Patna"/>
    <x v="2"/>
    <x v="2"/>
    <n v="48.36"/>
    <n v="157.69999999999999"/>
    <n v="3260.95"/>
    <x v="3"/>
    <s v="Vermicompost"/>
    <n v="164.92"/>
    <n v="733.13"/>
    <s v="Sandy"/>
    <n v="25.31"/>
    <x v="95"/>
    <n v="1319.6616822808116"/>
    <n v="8.0018292643755267"/>
    <x v="5"/>
    <x v="7"/>
    <x v="2"/>
    <x v="3"/>
    <x v="1"/>
  </r>
  <r>
    <s v="CID154"/>
    <d v="2014-01-29T00:00:00"/>
    <x v="1"/>
    <x v="3"/>
    <s v="Bangalore"/>
    <x v="2"/>
    <x v="1"/>
    <n v="30.55"/>
    <n v="203.12"/>
    <n v="6648.91"/>
    <x v="2"/>
    <s v="Vermicompost"/>
    <n v="242.79"/>
    <n v="904.9"/>
    <s v="Laterite"/>
    <n v="24.76"/>
    <x v="44"/>
    <n v="2690.7225673296775"/>
    <n v="11.082509853493463"/>
    <x v="3"/>
    <x v="3"/>
    <x v="1"/>
    <x v="3"/>
    <x v="0"/>
  </r>
  <r>
    <s v="CID155"/>
    <d v="2015-01-13T00:00:00"/>
    <x v="9"/>
    <x v="4"/>
    <s v="Darjeeling"/>
    <x v="2"/>
    <x v="5"/>
    <n v="57.77"/>
    <n v="246.05"/>
    <n v="4259.1499999999996"/>
    <x v="1"/>
    <s v="Urea"/>
    <n v="254.59"/>
    <n v="1154.6099999999999"/>
    <s v="Red"/>
    <n v="24.36"/>
    <x v="96"/>
    <n v="1723.6195139717931"/>
    <n v="6.7701775952385921"/>
    <x v="4"/>
    <x v="9"/>
    <x v="5"/>
    <x v="0"/>
    <x v="0"/>
  </r>
  <r>
    <s v="CID156"/>
    <d v="2021-03-31T00:00:00"/>
    <x v="11"/>
    <x v="2"/>
    <s v="Pune"/>
    <x v="2"/>
    <x v="2"/>
    <n v="48.43"/>
    <n v="107.15"/>
    <n v="2212.41"/>
    <x v="2"/>
    <s v="DAP"/>
    <n v="283.26"/>
    <n v="896.17"/>
    <s v="Red"/>
    <n v="21.64"/>
    <x v="34"/>
    <n v="895.33194391048335"/>
    <n v="3.1608131889800304"/>
    <x v="2"/>
    <x v="2"/>
    <x v="2"/>
    <x v="2"/>
    <x v="1"/>
  </r>
  <r>
    <s v="CID157"/>
    <d v="2020-05-06T00:00:00"/>
    <x v="11"/>
    <x v="6"/>
    <s v="Gurgaon"/>
    <x v="0"/>
    <x v="4"/>
    <n v="64.16"/>
    <n v="84.37"/>
    <n v="1314.95"/>
    <x v="1"/>
    <s v="DAP"/>
    <n v="132.57"/>
    <n v="672.4"/>
    <s v="Red"/>
    <n v="20.079999999999998"/>
    <x v="28"/>
    <n v="532.14220675421382"/>
    <n v="4.0140469695573193"/>
    <x v="6"/>
    <x v="17"/>
    <x v="4"/>
    <x v="2"/>
    <x v="0"/>
  </r>
  <r>
    <s v="CID158"/>
    <d v="2017-12-30T00:00:00"/>
    <x v="6"/>
    <x v="3"/>
    <s v="Hubli"/>
    <x v="2"/>
    <x v="2"/>
    <n v="20.75"/>
    <n v="140.76"/>
    <n v="6783.48"/>
    <x v="2"/>
    <s v="Vermicompost"/>
    <n v="121.35"/>
    <n v="259.16000000000003"/>
    <s v="Black"/>
    <n v="29.78"/>
    <x v="97"/>
    <n v="2745.1811982760364"/>
    <n v="22.622012346732891"/>
    <x v="3"/>
    <x v="12"/>
    <x v="2"/>
    <x v="3"/>
    <x v="1"/>
  </r>
  <r>
    <s v="CID159"/>
    <d v="2010-08-14T00:00:00"/>
    <x v="0"/>
    <x v="0"/>
    <s v="Varanasi"/>
    <x v="1"/>
    <x v="3"/>
    <n v="88.34"/>
    <n v="181.51"/>
    <n v="2054.73"/>
    <x v="0"/>
    <s v="Urea"/>
    <n v="299.29000000000002"/>
    <n v="596.99"/>
    <s v="Laterite"/>
    <n v="22.79"/>
    <x v="82"/>
    <n v="831.52101333441249"/>
    <n v="2.7783120496321709"/>
    <x v="0"/>
    <x v="6"/>
    <x v="3"/>
    <x v="0"/>
    <x v="1"/>
  </r>
  <r>
    <s v="CID160"/>
    <d v="2019-04-09T00:00:00"/>
    <x v="12"/>
    <x v="1"/>
    <s v="Amritsar"/>
    <x v="0"/>
    <x v="5"/>
    <n v="92.92"/>
    <n v="279.70999999999998"/>
    <n v="3010.25"/>
    <x v="1"/>
    <s v="Vermicompost"/>
    <n v="297.27"/>
    <n v="743.3"/>
    <s v="Laterite"/>
    <n v="33.340000000000003"/>
    <x v="38"/>
    <n v="1218.2068351510491"/>
    <n v="4.0979810783161748"/>
    <x v="1"/>
    <x v="14"/>
    <x v="5"/>
    <x v="3"/>
    <x v="0"/>
  </r>
  <r>
    <s v="CID161"/>
    <d v="2013-10-24T00:00:00"/>
    <x v="1"/>
    <x v="3"/>
    <s v="Mysore"/>
    <x v="1"/>
    <x v="0"/>
    <n v="17.09"/>
    <n v="64.150000000000006"/>
    <n v="3753.49"/>
    <x v="2"/>
    <s v="DAP"/>
    <n v="229.65"/>
    <n v="214.08"/>
    <s v="Alluvial"/>
    <n v="31.86"/>
    <x v="32"/>
    <n v="1518.9858562149693"/>
    <n v="6.6143516490963172"/>
    <x v="3"/>
    <x v="5"/>
    <x v="0"/>
    <x v="2"/>
    <x v="0"/>
  </r>
  <r>
    <s v="CID162"/>
    <d v="2020-11-02T00:00:00"/>
    <x v="11"/>
    <x v="6"/>
    <s v="Hisar"/>
    <x v="2"/>
    <x v="3"/>
    <n v="52.01"/>
    <n v="79.08"/>
    <n v="1520.43"/>
    <x v="0"/>
    <s v="NPK"/>
    <n v="96.2"/>
    <n v="340.61"/>
    <s v="Alluvial"/>
    <n v="34.04"/>
    <x v="98"/>
    <n v="615.2971408915239"/>
    <n v="6.3960201755875659"/>
    <x v="6"/>
    <x v="20"/>
    <x v="3"/>
    <x v="4"/>
    <x v="1"/>
  </r>
  <r>
    <s v="CID163"/>
    <d v="2017-12-01T00:00:00"/>
    <x v="6"/>
    <x v="3"/>
    <s v="Bangalore"/>
    <x v="2"/>
    <x v="0"/>
    <n v="30.89"/>
    <n v="164.87"/>
    <n v="5337.3"/>
    <x v="0"/>
    <s v="Compost"/>
    <n v="115.39"/>
    <n v="559.54999999999995"/>
    <s v="Red"/>
    <n v="20.93"/>
    <x v="97"/>
    <n v="2159.9320127071487"/>
    <n v="18.718537245057185"/>
    <x v="3"/>
    <x v="3"/>
    <x v="0"/>
    <x v="1"/>
    <x v="0"/>
  </r>
  <r>
    <s v="CID164"/>
    <d v="2016-04-15T00:00:00"/>
    <x v="4"/>
    <x v="2"/>
    <s v="Nagpur"/>
    <x v="0"/>
    <x v="1"/>
    <n v="92.39"/>
    <n v="584.53"/>
    <n v="6326.81"/>
    <x v="2"/>
    <s v="DAP"/>
    <n v="222.57"/>
    <n v="838.71"/>
    <s v="Alluvial"/>
    <n v="25.51"/>
    <x v="99"/>
    <n v="2560.3731207381479"/>
    <n v="11.503675790709206"/>
    <x v="2"/>
    <x v="13"/>
    <x v="1"/>
    <x v="2"/>
    <x v="0"/>
  </r>
  <r>
    <s v="CID165"/>
    <d v="2012-11-21T00:00:00"/>
    <x v="2"/>
    <x v="6"/>
    <s v="Faridabad"/>
    <x v="2"/>
    <x v="2"/>
    <n v="98.89"/>
    <n v="320.58"/>
    <n v="3241.75"/>
    <x v="1"/>
    <s v="Vermicompost"/>
    <n v="239.34"/>
    <n v="1001.99"/>
    <s v="Red"/>
    <n v="31.43"/>
    <x v="5"/>
    <n v="1311.8917059549585"/>
    <n v="5.4812889861910188"/>
    <x v="6"/>
    <x v="18"/>
    <x v="2"/>
    <x v="3"/>
    <x v="1"/>
  </r>
  <r>
    <s v="CID166"/>
    <d v="2022-02-22T00:00:00"/>
    <x v="8"/>
    <x v="3"/>
    <s v="Hubli"/>
    <x v="2"/>
    <x v="5"/>
    <n v="91.81"/>
    <n v="153.62"/>
    <n v="1673.25"/>
    <x v="3"/>
    <s v="Urea"/>
    <n v="193.18"/>
    <n v="349.85"/>
    <s v="Alluvial"/>
    <n v="32.82"/>
    <x v="55"/>
    <n v="677.14129621011307"/>
    <n v="3.5052349943581791"/>
    <x v="3"/>
    <x v="12"/>
    <x v="5"/>
    <x v="0"/>
    <x v="0"/>
  </r>
  <r>
    <s v="CID167"/>
    <d v="2021-05-06T00:00:00"/>
    <x v="8"/>
    <x v="0"/>
    <s v="Lucknow"/>
    <x v="0"/>
    <x v="3"/>
    <n v="10"/>
    <n v="40.619999999999997"/>
    <n v="4062.25"/>
    <x v="0"/>
    <s v="Compost"/>
    <n v="163.36000000000001"/>
    <n v="713.25"/>
    <s v="Laterite"/>
    <n v="28.46"/>
    <x v="91"/>
    <n v="1643.9367880050991"/>
    <n v="10.063276126377932"/>
    <x v="0"/>
    <x v="0"/>
    <x v="3"/>
    <x v="1"/>
    <x v="1"/>
  </r>
  <r>
    <s v="CID168"/>
    <d v="2021-10-17T00:00:00"/>
    <x v="8"/>
    <x v="0"/>
    <s v="Kanpur"/>
    <x v="1"/>
    <x v="3"/>
    <n v="26.19"/>
    <n v="26.66"/>
    <n v="1018.09"/>
    <x v="3"/>
    <s v="Urea"/>
    <n v="194.58"/>
    <n v="245.29"/>
    <s v="Alluvial"/>
    <n v="30.51"/>
    <x v="36"/>
    <n v="412.00704154104534"/>
    <n v="2.1174172142103265"/>
    <x v="0"/>
    <x v="11"/>
    <x v="3"/>
    <x v="0"/>
    <x v="1"/>
  </r>
  <r>
    <s v="CID169"/>
    <d v="2011-02-05T00:00:00"/>
    <x v="0"/>
    <x v="1"/>
    <s v="Amritsar"/>
    <x v="2"/>
    <x v="3"/>
    <n v="18.82"/>
    <n v="34.11"/>
    <n v="1812.57"/>
    <x v="1"/>
    <s v="Compost"/>
    <n v="143.62"/>
    <n v="1091.33"/>
    <s v="Laterite"/>
    <n v="33.04"/>
    <x v="100"/>
    <n v="733.52218692458666"/>
    <n v="5.1073818891838645"/>
    <x v="1"/>
    <x v="14"/>
    <x v="3"/>
    <x v="1"/>
    <x v="1"/>
  </r>
  <r>
    <s v="CID170"/>
    <d v="2020-04-15T00:00:00"/>
    <x v="11"/>
    <x v="1"/>
    <s v="Patiala"/>
    <x v="0"/>
    <x v="4"/>
    <n v="65.7"/>
    <n v="202.79"/>
    <n v="3086.62"/>
    <x v="3"/>
    <s v="Urea"/>
    <n v="298.20999999999998"/>
    <n v="593.05999999999995"/>
    <s v="Red"/>
    <n v="30.92"/>
    <x v="56"/>
    <n v="1249.1127253596649"/>
    <n v="4.1887016711701985"/>
    <x v="1"/>
    <x v="10"/>
    <x v="4"/>
    <x v="0"/>
    <x v="0"/>
  </r>
  <r>
    <s v="CID171"/>
    <d v="2014-12-19T00:00:00"/>
    <x v="9"/>
    <x v="4"/>
    <s v="Kolkata"/>
    <x v="2"/>
    <x v="2"/>
    <n v="72.19"/>
    <n v="255.9"/>
    <n v="3544.77"/>
    <x v="1"/>
    <s v="Urea"/>
    <n v="255.84"/>
    <n v="447.51"/>
    <s v="Alluvial"/>
    <n v="22.33"/>
    <x v="18"/>
    <n v="1434.5197385726715"/>
    <n v="5.6070971645273273"/>
    <x v="4"/>
    <x v="4"/>
    <x v="2"/>
    <x v="0"/>
    <x v="1"/>
  </r>
  <r>
    <s v="CID172"/>
    <d v="2016-04-03T00:00:00"/>
    <x v="4"/>
    <x v="1"/>
    <s v="Patiala"/>
    <x v="0"/>
    <x v="5"/>
    <n v="24.83"/>
    <n v="34.86"/>
    <n v="1403.75"/>
    <x v="0"/>
    <s v="Compost"/>
    <n v="161.61000000000001"/>
    <n v="872.02"/>
    <s v="Black"/>
    <n v="23.67"/>
    <x v="99"/>
    <n v="568.07834726128567"/>
    <n v="3.5151187875829812"/>
    <x v="1"/>
    <x v="10"/>
    <x v="5"/>
    <x v="1"/>
    <x v="0"/>
  </r>
  <r>
    <s v="CID173"/>
    <d v="2018-08-22T00:00:00"/>
    <x v="3"/>
    <x v="3"/>
    <s v="Bangalore"/>
    <x v="1"/>
    <x v="5"/>
    <n v="14.87"/>
    <n v="103.51"/>
    <n v="6960.9"/>
    <x v="3"/>
    <s v="DAP"/>
    <n v="253.95"/>
    <n v="931.52"/>
    <s v="Alluvial"/>
    <n v="28.66"/>
    <x v="63"/>
    <n v="2816.9806357621251"/>
    <n v="11.092658538145796"/>
    <x v="3"/>
    <x v="3"/>
    <x v="5"/>
    <x v="2"/>
    <x v="0"/>
  </r>
  <r>
    <s v="CID174"/>
    <d v="2020-04-23T00:00:00"/>
    <x v="11"/>
    <x v="2"/>
    <s v="Nagpur"/>
    <x v="0"/>
    <x v="4"/>
    <n v="41.94"/>
    <n v="111.18"/>
    <n v="2650.92"/>
    <x v="3"/>
    <s v="Compost"/>
    <n v="206.5"/>
    <n v="627.20000000000005"/>
    <s v="Laterite"/>
    <n v="20.7"/>
    <x v="56"/>
    <n v="1072.7909188401693"/>
    <n v="5.1951134084269697"/>
    <x v="2"/>
    <x v="13"/>
    <x v="4"/>
    <x v="1"/>
    <x v="0"/>
  </r>
  <r>
    <s v="CID175"/>
    <d v="2015-05-16T00:00:00"/>
    <x v="10"/>
    <x v="4"/>
    <s v="Darjeeling"/>
    <x v="0"/>
    <x v="3"/>
    <n v="41.42"/>
    <n v="115.95"/>
    <n v="2799.33"/>
    <x v="3"/>
    <s v="DAP"/>
    <n v="238.6"/>
    <n v="673.52"/>
    <s v="Red"/>
    <n v="24.51"/>
    <x v="84"/>
    <n v="1132.8504077214141"/>
    <n v="4.7479061513889942"/>
    <x v="4"/>
    <x v="9"/>
    <x v="3"/>
    <x v="2"/>
    <x v="1"/>
  </r>
  <r>
    <s v="CID176"/>
    <d v="2010-05-30T00:00:00"/>
    <x v="0"/>
    <x v="4"/>
    <s v="Howrah"/>
    <x v="0"/>
    <x v="3"/>
    <n v="96.81"/>
    <n v="420.52"/>
    <n v="4343.72"/>
    <x v="3"/>
    <s v="Compost"/>
    <n v="147.1"/>
    <n v="455"/>
    <s v="Alluvial"/>
    <n v="29.7"/>
    <x v="61"/>
    <n v="1757.8438315695757"/>
    <n v="11.949992056897184"/>
    <x v="4"/>
    <x v="16"/>
    <x v="3"/>
    <x v="1"/>
    <x v="1"/>
  </r>
  <r>
    <s v="CID177"/>
    <d v="2011-05-19T00:00:00"/>
    <x v="5"/>
    <x v="4"/>
    <s v="Howrah"/>
    <x v="0"/>
    <x v="2"/>
    <n v="83.11"/>
    <n v="108.81"/>
    <n v="1309.22"/>
    <x v="1"/>
    <s v="Vermicompost"/>
    <n v="218.42"/>
    <n v="802.92"/>
    <s v="Black"/>
    <n v="22.82"/>
    <x v="8"/>
    <n v="529.82335444446699"/>
    <n v="2.425708975572141"/>
    <x v="4"/>
    <x v="16"/>
    <x v="2"/>
    <x v="3"/>
    <x v="1"/>
  </r>
  <r>
    <s v="CID178"/>
    <d v="2018-07-01T00:00:00"/>
    <x v="3"/>
    <x v="0"/>
    <s v="Varanasi"/>
    <x v="1"/>
    <x v="3"/>
    <n v="21.68"/>
    <n v="139.66999999999999"/>
    <n v="6442.2"/>
    <x v="2"/>
    <s v="Compost"/>
    <n v="289.25"/>
    <n v="215.33"/>
    <s v="Red"/>
    <n v="34.43"/>
    <x v="13"/>
    <n v="2607.0698690839927"/>
    <n v="9.0132061161071491"/>
    <x v="0"/>
    <x v="6"/>
    <x v="3"/>
    <x v="1"/>
    <x v="1"/>
  </r>
  <r>
    <s v="CID179"/>
    <d v="2019-04-20T00:00:00"/>
    <x v="12"/>
    <x v="6"/>
    <s v="Hisar"/>
    <x v="0"/>
    <x v="4"/>
    <n v="40.270000000000003"/>
    <n v="98.1"/>
    <n v="2435.9899999999998"/>
    <x v="2"/>
    <s v="NPK"/>
    <n v="243.88"/>
    <n v="580.66"/>
    <s v="Sandy"/>
    <n v="29.73"/>
    <x v="38"/>
    <n v="985.81169947997807"/>
    <n v="4.0421998502541339"/>
    <x v="6"/>
    <x v="20"/>
    <x v="4"/>
    <x v="4"/>
    <x v="0"/>
  </r>
  <r>
    <s v="CID180"/>
    <d v="2017-12-27T00:00:00"/>
    <x v="6"/>
    <x v="2"/>
    <s v="Mumbai"/>
    <x v="2"/>
    <x v="5"/>
    <n v="80.48"/>
    <n v="429.32"/>
    <n v="5334.48"/>
    <x v="2"/>
    <s v="DAP"/>
    <n v="278.58"/>
    <n v="570.70000000000005"/>
    <s v="Laterite"/>
    <n v="20.69"/>
    <x v="97"/>
    <n v="2158.7907974342888"/>
    <n v="7.7492669877029545"/>
    <x v="2"/>
    <x v="19"/>
    <x v="5"/>
    <x v="2"/>
    <x v="0"/>
  </r>
  <r>
    <s v="CID181"/>
    <d v="2018-05-12T00:00:00"/>
    <x v="3"/>
    <x v="1"/>
    <s v="Amritsar"/>
    <x v="0"/>
    <x v="1"/>
    <n v="72.28"/>
    <n v="200.3"/>
    <n v="2771.15"/>
    <x v="3"/>
    <s v="NPK"/>
    <n v="132.47"/>
    <n v="579.84"/>
    <s v="Red"/>
    <n v="27.49"/>
    <x v="92"/>
    <n v="1121.4463487181563"/>
    <n v="8.4656627818989687"/>
    <x v="1"/>
    <x v="14"/>
    <x v="1"/>
    <x v="4"/>
    <x v="0"/>
  </r>
  <r>
    <s v="CID182"/>
    <d v="2021-05-27T00:00:00"/>
    <x v="8"/>
    <x v="2"/>
    <s v="Pune"/>
    <x v="0"/>
    <x v="2"/>
    <n v="49.57"/>
    <n v="99.61"/>
    <n v="2009.4"/>
    <x v="2"/>
    <s v="Vermicompost"/>
    <n v="92.32"/>
    <n v="920.31"/>
    <s v="Laterite"/>
    <n v="22.76"/>
    <x v="91"/>
    <n v="813.17658485259312"/>
    <n v="8.8082385707603255"/>
    <x v="2"/>
    <x v="2"/>
    <x v="2"/>
    <x v="3"/>
    <x v="1"/>
  </r>
  <r>
    <s v="CID183"/>
    <d v="2018-07-09T00:00:00"/>
    <x v="3"/>
    <x v="0"/>
    <s v="Lucknow"/>
    <x v="1"/>
    <x v="5"/>
    <n v="94.57"/>
    <n v="473.73"/>
    <n v="5009.29"/>
    <x v="0"/>
    <s v="Urea"/>
    <n v="153.1"/>
    <n v="1042.54"/>
    <s v="Red"/>
    <n v="21.02"/>
    <x v="13"/>
    <n v="2027.1908702778171"/>
    <n v="13.240959309456677"/>
    <x v="0"/>
    <x v="0"/>
    <x v="5"/>
    <x v="0"/>
    <x v="0"/>
  </r>
  <r>
    <s v="CID184"/>
    <d v="2017-11-04T00:00:00"/>
    <x v="6"/>
    <x v="6"/>
    <s v="Hisar"/>
    <x v="2"/>
    <x v="5"/>
    <n v="62.17"/>
    <n v="310.88"/>
    <n v="5000.53"/>
    <x v="1"/>
    <s v="Urea"/>
    <n v="214.82"/>
    <n v="215.73"/>
    <s v="Sandy"/>
    <n v="28.27"/>
    <x v="54"/>
    <n v="2023.6458185791464"/>
    <n v="9.420192805973123"/>
    <x v="6"/>
    <x v="20"/>
    <x v="5"/>
    <x v="0"/>
    <x v="0"/>
  </r>
  <r>
    <s v="CID185"/>
    <d v="2014-05-04T00:00:00"/>
    <x v="9"/>
    <x v="5"/>
    <s v="Bhagalpur"/>
    <x v="0"/>
    <x v="0"/>
    <n v="2.7"/>
    <n v="15.87"/>
    <n v="5878.94"/>
    <x v="1"/>
    <s v="DAP"/>
    <n v="251.54"/>
    <n v="1109.77"/>
    <s v="Black"/>
    <n v="33.770000000000003"/>
    <x v="58"/>
    <n v="2379.1262823496081"/>
    <n v="9.4582423564825007"/>
    <x v="5"/>
    <x v="15"/>
    <x v="0"/>
    <x v="2"/>
    <x v="0"/>
  </r>
  <r>
    <s v="CID186"/>
    <d v="2019-05-15T00:00:00"/>
    <x v="12"/>
    <x v="6"/>
    <s v="Gurgaon"/>
    <x v="0"/>
    <x v="0"/>
    <n v="81.709999999999994"/>
    <n v="212.77"/>
    <n v="2603.9499999999998"/>
    <x v="1"/>
    <s v="DAP"/>
    <n v="69.75"/>
    <n v="1159.3"/>
    <s v="Laterite"/>
    <n v="28.48"/>
    <x v="51"/>
    <n v="1053.7828048805163"/>
    <n v="15.107997202588047"/>
    <x v="6"/>
    <x v="17"/>
    <x v="0"/>
    <x v="2"/>
    <x v="0"/>
  </r>
  <r>
    <s v="CID187"/>
    <d v="2011-04-06T00:00:00"/>
    <x v="5"/>
    <x v="2"/>
    <s v="Mumbai"/>
    <x v="0"/>
    <x v="2"/>
    <n v="76.2"/>
    <n v="118.95"/>
    <n v="1561"/>
    <x v="1"/>
    <s v="Compost"/>
    <n v="144.29"/>
    <n v="676.01"/>
    <s v="Black"/>
    <n v="30.54"/>
    <x v="62"/>
    <n v="631.71526274255882"/>
    <n v="4.3780945508528575"/>
    <x v="2"/>
    <x v="19"/>
    <x v="2"/>
    <x v="1"/>
    <x v="1"/>
  </r>
  <r>
    <s v="CID188"/>
    <d v="2020-11-12T00:00:00"/>
    <x v="11"/>
    <x v="4"/>
    <s v="Howrah"/>
    <x v="2"/>
    <x v="1"/>
    <n v="97.76"/>
    <n v="668.98"/>
    <n v="6843.04"/>
    <x v="0"/>
    <s v="Urea"/>
    <n v="107.44"/>
    <n v="1101.27"/>
    <s v="Sandy"/>
    <n v="27.13"/>
    <x v="98"/>
    <n v="2769.2843123368607"/>
    <n v="25.775170442450303"/>
    <x v="4"/>
    <x v="16"/>
    <x v="1"/>
    <x v="0"/>
    <x v="0"/>
  </r>
  <r>
    <s v="CID189"/>
    <d v="2018-05-16T00:00:00"/>
    <x v="3"/>
    <x v="0"/>
    <s v="Kanpur"/>
    <x v="0"/>
    <x v="2"/>
    <n v="4.26"/>
    <n v="28"/>
    <n v="6572.6"/>
    <x v="2"/>
    <s v="Compost"/>
    <n v="53.91"/>
    <n v="407.16"/>
    <s v="Red"/>
    <n v="31.28"/>
    <x v="92"/>
    <n v="2659.8409582970803"/>
    <n v="49.338544950789846"/>
    <x v="0"/>
    <x v="11"/>
    <x v="2"/>
    <x v="1"/>
    <x v="1"/>
  </r>
  <r>
    <s v="CID190"/>
    <d v="2012-04-23T00:00:00"/>
    <x v="2"/>
    <x v="1"/>
    <s v="Amritsar"/>
    <x v="0"/>
    <x v="4"/>
    <n v="57.1"/>
    <n v="348.12"/>
    <n v="6096.65"/>
    <x v="2"/>
    <s v="Urea"/>
    <n v="145.96"/>
    <n v="939.75"/>
    <s v="Black"/>
    <n v="27.51"/>
    <x v="101"/>
    <n v="2467.2305295319802"/>
    <n v="16.903470331131679"/>
    <x v="1"/>
    <x v="14"/>
    <x v="4"/>
    <x v="0"/>
    <x v="0"/>
  </r>
  <r>
    <s v="CID191"/>
    <d v="2013-09-24T00:00:00"/>
    <x v="1"/>
    <x v="1"/>
    <s v="Amritsar"/>
    <x v="1"/>
    <x v="0"/>
    <n v="60.91"/>
    <n v="285.25"/>
    <n v="4683.1899999999996"/>
    <x v="1"/>
    <s v="Compost"/>
    <n v="292.23"/>
    <n v="526.38"/>
    <s v="Alluvial"/>
    <n v="31.75"/>
    <x v="102"/>
    <n v="1895.222678618401"/>
    <n v="6.4853802779262937"/>
    <x v="1"/>
    <x v="14"/>
    <x v="0"/>
    <x v="1"/>
    <x v="0"/>
  </r>
  <r>
    <s v="CID192"/>
    <d v="2018-11-22T00:00:00"/>
    <x v="3"/>
    <x v="6"/>
    <s v="Faridabad"/>
    <x v="2"/>
    <x v="3"/>
    <n v="19.39"/>
    <n v="87.55"/>
    <n v="4515.25"/>
    <x v="1"/>
    <s v="NPK"/>
    <n v="71.42"/>
    <n v="818.62"/>
    <s v="Red"/>
    <n v="30.7"/>
    <x v="3"/>
    <n v="1827.2596669432023"/>
    <n v="25.584705501865056"/>
    <x v="6"/>
    <x v="18"/>
    <x v="3"/>
    <x v="4"/>
    <x v="1"/>
  </r>
  <r>
    <s v="CID193"/>
    <d v="2021-04-18T00:00:00"/>
    <x v="8"/>
    <x v="6"/>
    <s v="Faridabad"/>
    <x v="0"/>
    <x v="4"/>
    <n v="74.23"/>
    <n v="215.27"/>
    <n v="2900.07"/>
    <x v="0"/>
    <s v="Urea"/>
    <n v="72.88"/>
    <n v="1142.96"/>
    <s v="Laterite"/>
    <n v="25.4"/>
    <x v="16"/>
    <n v="1173.618502256126"/>
    <n v="16.103437187927089"/>
    <x v="6"/>
    <x v="18"/>
    <x v="4"/>
    <x v="0"/>
    <x v="0"/>
  </r>
  <r>
    <s v="CID194"/>
    <d v="2013-01-23T00:00:00"/>
    <x v="2"/>
    <x v="6"/>
    <s v="Gurgaon"/>
    <x v="2"/>
    <x v="3"/>
    <n v="56.14"/>
    <n v="228.75"/>
    <n v="4074.65"/>
    <x v="0"/>
    <s v="Compost"/>
    <n v="56.57"/>
    <n v="553.91"/>
    <s v="Black"/>
    <n v="28.95"/>
    <x v="20"/>
    <n v="1648.9548977155462"/>
    <n v="29.148928720444513"/>
    <x v="6"/>
    <x v="17"/>
    <x v="3"/>
    <x v="1"/>
    <x v="1"/>
  </r>
  <r>
    <s v="CID195"/>
    <d v="2017-01-08T00:00:00"/>
    <x v="4"/>
    <x v="1"/>
    <s v="Amritsar"/>
    <x v="2"/>
    <x v="5"/>
    <n v="72.760000000000005"/>
    <n v="317.02999999999997"/>
    <n v="4357.22"/>
    <x v="3"/>
    <s v="NPK"/>
    <n v="192.99"/>
    <n v="369.58"/>
    <s v="Laterite"/>
    <n v="22.54"/>
    <x v="76"/>
    <n v="1763.3070961736914"/>
    <n v="9.136779606060891"/>
    <x v="1"/>
    <x v="14"/>
    <x v="5"/>
    <x v="4"/>
    <x v="0"/>
  </r>
  <r>
    <s v="CID196"/>
    <d v="2012-10-05T00:00:00"/>
    <x v="2"/>
    <x v="2"/>
    <s v="Pune"/>
    <x v="1"/>
    <x v="4"/>
    <n v="44.03"/>
    <n v="155.28"/>
    <n v="3526.61"/>
    <x v="1"/>
    <s v="Vermicompost"/>
    <n v="245.67"/>
    <n v="561.12"/>
    <s v="Red"/>
    <n v="30.81"/>
    <x v="2"/>
    <n v="1427.1706359644686"/>
    <n v="5.8092996131577674"/>
    <x v="2"/>
    <x v="2"/>
    <x v="4"/>
    <x v="3"/>
    <x v="0"/>
  </r>
  <r>
    <s v="CID197"/>
    <d v="2017-09-19T00:00:00"/>
    <x v="6"/>
    <x v="5"/>
    <s v="Patna"/>
    <x v="1"/>
    <x v="4"/>
    <n v="31.16"/>
    <n v="208.55"/>
    <n v="6692.94"/>
    <x v="2"/>
    <s v="Vermicompost"/>
    <n v="260.39999999999998"/>
    <n v="579.89"/>
    <s v="Alluvial"/>
    <n v="26.6"/>
    <x v="103"/>
    <n v="2708.5409036644342"/>
    <n v="10.401462763688304"/>
    <x v="5"/>
    <x v="7"/>
    <x v="4"/>
    <x v="3"/>
    <x v="0"/>
  </r>
  <r>
    <s v="CID198"/>
    <d v="2015-05-21T00:00:00"/>
    <x v="10"/>
    <x v="6"/>
    <s v="Faridabad"/>
    <x v="0"/>
    <x v="2"/>
    <n v="20.88"/>
    <n v="60.24"/>
    <n v="2885.1"/>
    <x v="1"/>
    <s v="DAP"/>
    <n v="292.18"/>
    <n v="491.45"/>
    <s v="Laterite"/>
    <n v="34.520000000000003"/>
    <x v="84"/>
    <n v="1167.560348839562"/>
    <n v="3.9960310385363886"/>
    <x v="6"/>
    <x v="18"/>
    <x v="2"/>
    <x v="2"/>
    <x v="1"/>
  </r>
  <r>
    <s v="CID199"/>
    <d v="2014-12-24T00:00:00"/>
    <x v="9"/>
    <x v="2"/>
    <s v="Pune"/>
    <x v="2"/>
    <x v="0"/>
    <n v="12.27"/>
    <n v="53.78"/>
    <n v="4383.1000000000004"/>
    <x v="3"/>
    <s v="Compost"/>
    <n v="220.43"/>
    <n v="750.1"/>
    <s v="Laterite"/>
    <n v="34.14"/>
    <x v="18"/>
    <n v="1773.7803767629148"/>
    <n v="8.0469100247829903"/>
    <x v="2"/>
    <x v="2"/>
    <x v="0"/>
    <x v="1"/>
    <x v="0"/>
  </r>
  <r>
    <s v="CID200"/>
    <d v="2021-06-19T00:00:00"/>
    <x v="8"/>
    <x v="4"/>
    <s v="Howrah"/>
    <x v="1"/>
    <x v="3"/>
    <n v="67.62"/>
    <n v="124.09"/>
    <n v="1835.07"/>
    <x v="2"/>
    <s v="Compost"/>
    <n v="110.51"/>
    <n v="858.66"/>
    <s v="Laterite"/>
    <n v="31.84"/>
    <x v="12"/>
    <n v="742.62762793144611"/>
    <n v="6.7200038723323328"/>
    <x v="4"/>
    <x v="16"/>
    <x v="3"/>
    <x v="1"/>
    <x v="1"/>
  </r>
  <r>
    <s v="CID201"/>
    <d v="2020-03-17T00:00:00"/>
    <x v="12"/>
    <x v="5"/>
    <s v="Gaya"/>
    <x v="2"/>
    <x v="1"/>
    <n v="51.15"/>
    <n v="333.62"/>
    <n v="6522.35"/>
    <x v="1"/>
    <s v="Vermicompost"/>
    <n v="185.91"/>
    <n v="990.72"/>
    <s v="Alluvial"/>
    <n v="30.52"/>
    <x v="86"/>
    <n v="2639.505473381761"/>
    <n v="14.197759525478785"/>
    <x v="5"/>
    <x v="8"/>
    <x v="1"/>
    <x v="3"/>
    <x v="0"/>
  </r>
  <r>
    <s v="CID202"/>
    <d v="2011-08-24T00:00:00"/>
    <x v="5"/>
    <x v="0"/>
    <s v="Lucknow"/>
    <x v="1"/>
    <x v="2"/>
    <n v="66.8"/>
    <n v="133.47"/>
    <n v="1998.03"/>
    <x v="0"/>
    <s v="Compost"/>
    <n v="190.81"/>
    <n v="845.03"/>
    <s v="Laterite"/>
    <n v="34.5"/>
    <x v="89"/>
    <n v="808.57530199712676"/>
    <n v="4.2375939520838886"/>
    <x v="0"/>
    <x v="0"/>
    <x v="2"/>
    <x v="1"/>
    <x v="1"/>
  </r>
  <r>
    <s v="CID203"/>
    <d v="2011-12-09T00:00:00"/>
    <x v="5"/>
    <x v="1"/>
    <s v="Ludhiana"/>
    <x v="2"/>
    <x v="4"/>
    <n v="51.56"/>
    <n v="212.06"/>
    <n v="4112.79"/>
    <x v="3"/>
    <s v="NPK"/>
    <n v="161.44"/>
    <n v="591.13"/>
    <s v="Sandy"/>
    <n v="30.36"/>
    <x v="104"/>
    <n v="1664.3896319378402"/>
    <n v="10.309648364332508"/>
    <x v="1"/>
    <x v="1"/>
    <x v="4"/>
    <x v="4"/>
    <x v="0"/>
  </r>
  <r>
    <s v="CID204"/>
    <d v="2012-01-29T00:00:00"/>
    <x v="5"/>
    <x v="1"/>
    <s v="Amritsar"/>
    <x v="2"/>
    <x v="3"/>
    <n v="92.13"/>
    <n v="139.59"/>
    <n v="1515.13"/>
    <x v="3"/>
    <s v="Compost"/>
    <n v="137.08000000000001"/>
    <n v="543.07000000000005"/>
    <s v="Red"/>
    <n v="27.82"/>
    <x v="26"/>
    <n v="613.15230367657477"/>
    <n v="4.4729523174538572"/>
    <x v="1"/>
    <x v="14"/>
    <x v="3"/>
    <x v="1"/>
    <x v="1"/>
  </r>
  <r>
    <s v="CID205"/>
    <d v="2021-04-11T00:00:00"/>
    <x v="8"/>
    <x v="1"/>
    <s v="Amritsar"/>
    <x v="0"/>
    <x v="3"/>
    <n v="32.57"/>
    <n v="91.25"/>
    <n v="2801.58"/>
    <x v="0"/>
    <s v="DAP"/>
    <n v="55.65"/>
    <n v="543.08000000000004"/>
    <s v="Black"/>
    <n v="30.16"/>
    <x v="16"/>
    <n v="1133.7609518221"/>
    <n v="20.373062925823898"/>
    <x v="1"/>
    <x v="14"/>
    <x v="3"/>
    <x v="2"/>
    <x v="1"/>
  </r>
  <r>
    <s v="CID206"/>
    <d v="2018-09-19T00:00:00"/>
    <x v="3"/>
    <x v="5"/>
    <s v="Patna"/>
    <x v="1"/>
    <x v="0"/>
    <n v="56.43"/>
    <n v="380.95"/>
    <n v="6750.78"/>
    <x v="3"/>
    <s v="Compost"/>
    <n v="249.44"/>
    <n v="829.76"/>
    <s v="Red"/>
    <n v="29.61"/>
    <x v="22"/>
    <n v="2731.9479573460676"/>
    <n v="10.952325037468199"/>
    <x v="5"/>
    <x v="7"/>
    <x v="0"/>
    <x v="1"/>
    <x v="0"/>
  </r>
  <r>
    <s v="CID207"/>
    <d v="2019-10-16T00:00:00"/>
    <x v="12"/>
    <x v="1"/>
    <s v="Patiala"/>
    <x v="1"/>
    <x v="3"/>
    <n v="59.63"/>
    <n v="198.75"/>
    <n v="3333.01"/>
    <x v="3"/>
    <s v="DAP"/>
    <n v="101.45"/>
    <n v="952.33"/>
    <s v="Black"/>
    <n v="28.66"/>
    <x v="79"/>
    <n v="1348.8233746787803"/>
    <n v="13.295449725764222"/>
    <x v="1"/>
    <x v="10"/>
    <x v="3"/>
    <x v="2"/>
    <x v="1"/>
  </r>
  <r>
    <s v="CID208"/>
    <d v="2014-01-30T00:00:00"/>
    <x v="1"/>
    <x v="2"/>
    <s v="Pune"/>
    <x v="2"/>
    <x v="5"/>
    <n v="26.97"/>
    <n v="166.56"/>
    <n v="6175.82"/>
    <x v="2"/>
    <s v="Compost"/>
    <n v="199.24"/>
    <n v="811.31"/>
    <s v="Sandy"/>
    <n v="21.71"/>
    <x v="44"/>
    <n v="2499.2695412881162"/>
    <n v="12.544014963301125"/>
    <x v="2"/>
    <x v="2"/>
    <x v="5"/>
    <x v="1"/>
    <x v="0"/>
  </r>
  <r>
    <s v="CID209"/>
    <d v="2020-05-15T00:00:00"/>
    <x v="11"/>
    <x v="5"/>
    <s v="Patna"/>
    <x v="0"/>
    <x v="0"/>
    <n v="91.95"/>
    <n v="417.55"/>
    <n v="4541.01"/>
    <x v="3"/>
    <s v="DAP"/>
    <n v="128.30000000000001"/>
    <n v="438.57"/>
    <s v="Black"/>
    <n v="22.75"/>
    <x v="28"/>
    <n v="1837.684385180389"/>
    <n v="14.323338933596171"/>
    <x v="5"/>
    <x v="7"/>
    <x v="0"/>
    <x v="2"/>
    <x v="0"/>
  </r>
  <r>
    <s v="CID210"/>
    <d v="2016-05-02T00:00:00"/>
    <x v="4"/>
    <x v="5"/>
    <s v="Gaya"/>
    <x v="0"/>
    <x v="4"/>
    <n v="57.91"/>
    <n v="204.9"/>
    <n v="3538.23"/>
    <x v="1"/>
    <s v="NPK"/>
    <n v="208.88"/>
    <n v="893.43"/>
    <s v="Red"/>
    <n v="28.32"/>
    <x v="30"/>
    <n v="1431.8730903866779"/>
    <n v="6.8550033051832528"/>
    <x v="5"/>
    <x v="8"/>
    <x v="4"/>
    <x v="4"/>
    <x v="0"/>
  </r>
  <r>
    <s v="CID211"/>
    <d v="2016-03-09T00:00:00"/>
    <x v="10"/>
    <x v="6"/>
    <s v="Gurgaon"/>
    <x v="2"/>
    <x v="1"/>
    <n v="6.31"/>
    <n v="19.899999999999999"/>
    <n v="3154.24"/>
    <x v="0"/>
    <s v="Compost"/>
    <n v="171.15"/>
    <n v="395.13"/>
    <s v="Laterite"/>
    <n v="34.46"/>
    <x v="105"/>
    <n v="1276.4776107322798"/>
    <n v="7.4582390343691483"/>
    <x v="6"/>
    <x v="17"/>
    <x v="1"/>
    <x v="1"/>
    <x v="0"/>
  </r>
  <r>
    <s v="CID212"/>
    <d v="2018-01-10T00:00:00"/>
    <x v="6"/>
    <x v="3"/>
    <s v="Hubli"/>
    <x v="2"/>
    <x v="2"/>
    <n v="84.15"/>
    <n v="330.89"/>
    <n v="3932.2"/>
    <x v="0"/>
    <s v="DAP"/>
    <n v="191.35"/>
    <n v="995.88"/>
    <s v="Red"/>
    <n v="24.38"/>
    <x v="83"/>
    <n v="1591.3073389854515"/>
    <n v="8.316212902981194"/>
    <x v="3"/>
    <x v="12"/>
    <x v="2"/>
    <x v="2"/>
    <x v="1"/>
  </r>
  <r>
    <s v="CID213"/>
    <d v="2013-02-02T00:00:00"/>
    <x v="2"/>
    <x v="5"/>
    <s v="Gaya"/>
    <x v="2"/>
    <x v="1"/>
    <n v="74.510000000000005"/>
    <n v="416.92"/>
    <n v="5595.52"/>
    <x v="0"/>
    <s v="Vermicompost"/>
    <n v="193.18"/>
    <n v="467.89"/>
    <s v="Sandy"/>
    <n v="32.35"/>
    <x v="15"/>
    <n v="2264.4301005645375"/>
    <n v="11.721866138133024"/>
    <x v="5"/>
    <x v="8"/>
    <x v="1"/>
    <x v="3"/>
    <x v="0"/>
  </r>
  <r>
    <s v="CID214"/>
    <d v="2022-04-03T00:00:00"/>
    <x v="7"/>
    <x v="4"/>
    <s v="Kolkata"/>
    <x v="0"/>
    <x v="3"/>
    <n v="55.09"/>
    <n v="382.25"/>
    <n v="6938.65"/>
    <x v="0"/>
    <s v="Compost"/>
    <n v="234"/>
    <n v="853.67"/>
    <s v="Red"/>
    <n v="24.47"/>
    <x v="72"/>
    <n v="2807.9763663220087"/>
    <n v="11.999899001376106"/>
    <x v="4"/>
    <x v="4"/>
    <x v="3"/>
    <x v="1"/>
    <x v="1"/>
  </r>
  <r>
    <s v="CID215"/>
    <d v="2011-12-06T00:00:00"/>
    <x v="5"/>
    <x v="2"/>
    <s v="Pune"/>
    <x v="2"/>
    <x v="5"/>
    <n v="77.790000000000006"/>
    <n v="188.38"/>
    <n v="2421.6799999999998"/>
    <x v="2"/>
    <s v="DAP"/>
    <n v="265.26"/>
    <n v="810.26"/>
    <s v="Laterite"/>
    <n v="22.49"/>
    <x v="104"/>
    <n v="980.02063899961547"/>
    <n v="3.69456623312831"/>
    <x v="2"/>
    <x v="2"/>
    <x v="5"/>
    <x v="2"/>
    <x v="0"/>
  </r>
  <r>
    <s v="CID216"/>
    <d v="2022-10-10T00:00:00"/>
    <x v="7"/>
    <x v="4"/>
    <s v="Kolkata"/>
    <x v="1"/>
    <x v="1"/>
    <n v="35.729999999999997"/>
    <n v="95.99"/>
    <n v="2686.51"/>
    <x v="3"/>
    <s v="Urea"/>
    <n v="130.91"/>
    <n v="904.05"/>
    <s v="Alluvial"/>
    <n v="28.59"/>
    <x v="106"/>
    <n v="1087.193703081686"/>
    <n v="8.3048942256640892"/>
    <x v="4"/>
    <x v="4"/>
    <x v="1"/>
    <x v="0"/>
    <x v="0"/>
  </r>
  <r>
    <s v="CID217"/>
    <d v="2011-02-09T00:00:00"/>
    <x v="0"/>
    <x v="6"/>
    <s v="Faridabad"/>
    <x v="2"/>
    <x v="2"/>
    <n v="13.56"/>
    <n v="84.02"/>
    <n v="6196.47"/>
    <x v="3"/>
    <s v="Compost"/>
    <n v="86.56"/>
    <n v="522.1"/>
    <s v="Red"/>
    <n v="31.42"/>
    <x v="100"/>
    <n v="2507.6263127010784"/>
    <n v="28.969804906435748"/>
    <x v="6"/>
    <x v="18"/>
    <x v="2"/>
    <x v="1"/>
    <x v="1"/>
  </r>
  <r>
    <s v="CID218"/>
    <d v="2021-03-05T00:00:00"/>
    <x v="11"/>
    <x v="6"/>
    <s v="Hisar"/>
    <x v="2"/>
    <x v="2"/>
    <n v="42.01"/>
    <n v="155.94"/>
    <n v="3711.95"/>
    <x v="0"/>
    <s v="NPK"/>
    <n v="150.71"/>
    <n v="949.8"/>
    <s v="Alluvial"/>
    <n v="26.82"/>
    <x v="34"/>
    <n v="1502.175188684972"/>
    <n v="9.9673225976044844"/>
    <x v="6"/>
    <x v="20"/>
    <x v="2"/>
    <x v="4"/>
    <x v="1"/>
  </r>
  <r>
    <s v="CID219"/>
    <d v="2022-04-28T00:00:00"/>
    <x v="7"/>
    <x v="5"/>
    <s v="Patna"/>
    <x v="0"/>
    <x v="5"/>
    <n v="73.36"/>
    <n v="275.14999999999998"/>
    <n v="3750.7"/>
    <x v="2"/>
    <s v="DAP"/>
    <n v="262.52999999999997"/>
    <n v="995.68"/>
    <s v="Laterite"/>
    <n v="23.27"/>
    <x v="72"/>
    <n v="1517.8567815301187"/>
    <n v="5.7816507885960418"/>
    <x v="5"/>
    <x v="7"/>
    <x v="5"/>
    <x v="2"/>
    <x v="0"/>
  </r>
  <r>
    <s v="CID220"/>
    <d v="2016-02-26T00:00:00"/>
    <x v="10"/>
    <x v="3"/>
    <s v="Mysore"/>
    <x v="2"/>
    <x v="0"/>
    <n v="55.18"/>
    <n v="98.42"/>
    <n v="1783.57"/>
    <x v="1"/>
    <s v="Urea"/>
    <n v="247.08"/>
    <n v="1094.1500000000001"/>
    <s v="Black"/>
    <n v="20.69"/>
    <x v="107"/>
    <n v="721.78628518241237"/>
    <n v="2.9212655220269239"/>
    <x v="3"/>
    <x v="5"/>
    <x v="0"/>
    <x v="0"/>
    <x v="0"/>
  </r>
  <r>
    <s v="CID221"/>
    <d v="2018-02-01T00:00:00"/>
    <x v="6"/>
    <x v="1"/>
    <s v="Ludhiana"/>
    <x v="2"/>
    <x v="5"/>
    <n v="99.19"/>
    <n v="353.79"/>
    <n v="3566.8"/>
    <x v="3"/>
    <s v="NPK"/>
    <n v="270.54000000000002"/>
    <n v="501.87"/>
    <s v="Alluvial"/>
    <n v="21.4"/>
    <x v="108"/>
    <n v="1443.4349770340546"/>
    <n v="5.3353847010943092"/>
    <x v="1"/>
    <x v="1"/>
    <x v="5"/>
    <x v="4"/>
    <x v="0"/>
  </r>
  <r>
    <s v="CID222"/>
    <d v="2020-05-01T00:00:00"/>
    <x v="11"/>
    <x v="1"/>
    <s v="Amritsar"/>
    <x v="0"/>
    <x v="4"/>
    <n v="6.13"/>
    <n v="29.14"/>
    <n v="4753.63"/>
    <x v="3"/>
    <s v="Urea"/>
    <n v="157.31"/>
    <n v="291.2"/>
    <s v="Black"/>
    <n v="20.02"/>
    <x v="28"/>
    <n v="1923.7287792638758"/>
    <n v="12.228903307252406"/>
    <x v="1"/>
    <x v="14"/>
    <x v="4"/>
    <x v="0"/>
    <x v="0"/>
  </r>
  <r>
    <s v="CID223"/>
    <d v="2013-05-01T00:00:00"/>
    <x v="1"/>
    <x v="6"/>
    <s v="Hisar"/>
    <x v="0"/>
    <x v="2"/>
    <n v="45.06"/>
    <n v="47.24"/>
    <n v="1048.3800000000001"/>
    <x v="2"/>
    <s v="Urea"/>
    <n v="254.28"/>
    <n v="1188.1500000000001"/>
    <s v="Laterite"/>
    <n v="30.41"/>
    <x v="67"/>
    <n v="424.26498856761299"/>
    <n v="1.6684953144864441"/>
    <x v="6"/>
    <x v="20"/>
    <x v="2"/>
    <x v="0"/>
    <x v="1"/>
  </r>
  <r>
    <s v="CID224"/>
    <d v="2011-05-14T00:00:00"/>
    <x v="5"/>
    <x v="6"/>
    <s v="Faridabad"/>
    <x v="0"/>
    <x v="5"/>
    <n v="11.22"/>
    <n v="35.96"/>
    <n v="3205.37"/>
    <x v="2"/>
    <s v="DAP"/>
    <n v="84.28"/>
    <n v="973.46"/>
    <s v="Red"/>
    <n v="29.62"/>
    <x v="8"/>
    <n v="1297.1692195625342"/>
    <n v="15.391186753233676"/>
    <x v="6"/>
    <x v="18"/>
    <x v="5"/>
    <x v="2"/>
    <x v="0"/>
  </r>
  <r>
    <s v="CID225"/>
    <d v="2019-09-22T00:00:00"/>
    <x v="12"/>
    <x v="1"/>
    <s v="Patiala"/>
    <x v="1"/>
    <x v="1"/>
    <n v="65.349999999999994"/>
    <n v="237.91"/>
    <n v="3640.6"/>
    <x v="3"/>
    <s v="DAP"/>
    <n v="207.02"/>
    <n v="351.37"/>
    <s v="Laterite"/>
    <n v="29.24"/>
    <x v="77"/>
    <n v="1473.3008235365533"/>
    <n v="7.1167076781786935"/>
    <x v="1"/>
    <x v="10"/>
    <x v="1"/>
    <x v="2"/>
    <x v="0"/>
  </r>
  <r>
    <s v="CID226"/>
    <d v="2012-08-03T00:00:00"/>
    <x v="2"/>
    <x v="1"/>
    <s v="Ludhiana"/>
    <x v="1"/>
    <x v="1"/>
    <n v="73.27"/>
    <n v="227.81"/>
    <n v="3109.21"/>
    <x v="1"/>
    <s v="Vermicompost"/>
    <n v="128.63"/>
    <n v="339.83"/>
    <s v="Alluvial"/>
    <n v="29.67"/>
    <x v="109"/>
    <n v="1258.2545881305518"/>
    <n v="9.781968344325211"/>
    <x v="1"/>
    <x v="1"/>
    <x v="1"/>
    <x v="3"/>
    <x v="0"/>
  </r>
  <r>
    <s v="CID227"/>
    <d v="2021-04-19T00:00:00"/>
    <x v="8"/>
    <x v="5"/>
    <s v="Bhagalpur"/>
    <x v="0"/>
    <x v="0"/>
    <n v="78.12"/>
    <n v="401.76"/>
    <n v="5142.8599999999997"/>
    <x v="2"/>
    <s v="Urea"/>
    <n v="101.36"/>
    <n v="806.93"/>
    <s v="Red"/>
    <n v="31.22"/>
    <x v="16"/>
    <n v="2081.2448149572042"/>
    <n v="20.533196674794834"/>
    <x v="5"/>
    <x v="15"/>
    <x v="0"/>
    <x v="0"/>
    <x v="0"/>
  </r>
  <r>
    <s v="CID228"/>
    <d v="2017-12-04T00:00:00"/>
    <x v="6"/>
    <x v="4"/>
    <s v="Kolkata"/>
    <x v="2"/>
    <x v="5"/>
    <n v="24.87"/>
    <n v="120.08"/>
    <n v="4828.49"/>
    <x v="0"/>
    <s v="Compost"/>
    <n v="182.07"/>
    <n v="1177.7"/>
    <s v="Alluvial"/>
    <n v="34.01"/>
    <x v="97"/>
    <n v="1954.0235932093644"/>
    <n v="10.732265574830365"/>
    <x v="4"/>
    <x v="4"/>
    <x v="5"/>
    <x v="1"/>
    <x v="0"/>
  </r>
  <r>
    <s v="CID229"/>
    <d v="2016-11-16T00:00:00"/>
    <x v="4"/>
    <x v="4"/>
    <s v="Darjeeling"/>
    <x v="2"/>
    <x v="1"/>
    <n v="68.61"/>
    <n v="382.59"/>
    <n v="5576.36"/>
    <x v="0"/>
    <s v="Compost"/>
    <n v="54.17"/>
    <n v="267.52999999999997"/>
    <s v="Alluvial"/>
    <n v="23.24"/>
    <x v="110"/>
    <n v="2256.6763116893626"/>
    <n v="41.659152883318491"/>
    <x v="4"/>
    <x v="9"/>
    <x v="1"/>
    <x v="1"/>
    <x v="0"/>
  </r>
  <r>
    <s v="CID230"/>
    <d v="2020-04-06T00:00:00"/>
    <x v="11"/>
    <x v="5"/>
    <s v="Gaya"/>
    <x v="0"/>
    <x v="1"/>
    <n v="76.94"/>
    <n v="272.48"/>
    <n v="3541.45"/>
    <x v="1"/>
    <s v="NPK"/>
    <n v="70.61"/>
    <n v="736.56"/>
    <s v="Sandy"/>
    <n v="22.29"/>
    <x v="56"/>
    <n v="1433.176180166326"/>
    <n v="20.297070955478347"/>
    <x v="5"/>
    <x v="8"/>
    <x v="1"/>
    <x v="4"/>
    <x v="0"/>
  </r>
  <r>
    <s v="CID231"/>
    <d v="2013-06-23T00:00:00"/>
    <x v="1"/>
    <x v="1"/>
    <s v="Patiala"/>
    <x v="1"/>
    <x v="1"/>
    <n v="33.35"/>
    <n v="150.69999999999999"/>
    <n v="4518.62"/>
    <x v="0"/>
    <s v="Compost"/>
    <n v="127.54"/>
    <n v="637.49"/>
    <s v="Red"/>
    <n v="20.87"/>
    <x v="111"/>
    <n v="1828.6234596628963"/>
    <n v="14.337646696431678"/>
    <x v="1"/>
    <x v="10"/>
    <x v="1"/>
    <x v="1"/>
    <x v="0"/>
  </r>
  <r>
    <s v="CID232"/>
    <d v="2019-05-31T00:00:00"/>
    <x v="12"/>
    <x v="1"/>
    <s v="Amritsar"/>
    <x v="0"/>
    <x v="5"/>
    <n v="31.62"/>
    <n v="172.33"/>
    <n v="5450.16"/>
    <x v="3"/>
    <s v="NPK"/>
    <n v="79.86"/>
    <n v="907.9"/>
    <s v="Black"/>
    <n v="22.46"/>
    <x v="51"/>
    <n v="2205.6049047975557"/>
    <n v="27.618393498591981"/>
    <x v="1"/>
    <x v="14"/>
    <x v="5"/>
    <x v="4"/>
    <x v="0"/>
  </r>
  <r>
    <s v="CID233"/>
    <d v="2022-04-28T00:00:00"/>
    <x v="7"/>
    <x v="5"/>
    <s v="Bhagalpur"/>
    <x v="0"/>
    <x v="0"/>
    <n v="17.53"/>
    <n v="30.88"/>
    <n v="1761.58"/>
    <x v="2"/>
    <s v="NPK"/>
    <n v="233.23"/>
    <n v="318.06"/>
    <s v="Black"/>
    <n v="25.03"/>
    <x v="72"/>
    <n v="712.88723417170831"/>
    <n v="3.0565846339309193"/>
    <x v="5"/>
    <x v="15"/>
    <x v="0"/>
    <x v="4"/>
    <x v="0"/>
  </r>
  <r>
    <s v="CID234"/>
    <d v="2014-04-17T00:00:00"/>
    <x v="9"/>
    <x v="5"/>
    <s v="Patna"/>
    <x v="0"/>
    <x v="1"/>
    <n v="63.13"/>
    <n v="251.06"/>
    <n v="3976.89"/>
    <x v="2"/>
    <s v="Urea"/>
    <n v="63.86"/>
    <n v="1059.3599999999999"/>
    <s v="Red"/>
    <n v="25.52"/>
    <x v="31"/>
    <n v="1609.3927682564092"/>
    <n v="25.201891140877063"/>
    <x v="5"/>
    <x v="7"/>
    <x v="1"/>
    <x v="0"/>
    <x v="0"/>
  </r>
  <r>
    <s v="CID235"/>
    <d v="2021-07-16T00:00:00"/>
    <x v="8"/>
    <x v="5"/>
    <s v="Bhagalpur"/>
    <x v="1"/>
    <x v="4"/>
    <n v="74.34"/>
    <n v="75.489999999999995"/>
    <n v="1015.41"/>
    <x v="0"/>
    <s v="Urea"/>
    <n v="111.14"/>
    <n v="671.76"/>
    <s v="Laterite"/>
    <n v="33.799999999999997"/>
    <x v="40"/>
    <n v="410.9224823455616"/>
    <n v="3.6973410324416198"/>
    <x v="5"/>
    <x v="15"/>
    <x v="4"/>
    <x v="0"/>
    <x v="0"/>
  </r>
  <r>
    <s v="CID236"/>
    <d v="2021-05-14T00:00:00"/>
    <x v="8"/>
    <x v="5"/>
    <s v="Bhagalpur"/>
    <x v="0"/>
    <x v="3"/>
    <n v="23.23"/>
    <n v="57.83"/>
    <n v="2489.58"/>
    <x v="2"/>
    <s v="Urea"/>
    <n v="117.81"/>
    <n v="277.89"/>
    <s v="Alluvial"/>
    <n v="21.79"/>
    <x v="91"/>
    <n v="1007.4988365269825"/>
    <n v="8.5518957348865339"/>
    <x v="5"/>
    <x v="15"/>
    <x v="3"/>
    <x v="0"/>
    <x v="1"/>
  </r>
  <r>
    <s v="CID237"/>
    <d v="2022-05-06T00:00:00"/>
    <x v="7"/>
    <x v="6"/>
    <s v="Gurgaon"/>
    <x v="0"/>
    <x v="5"/>
    <n v="95.45"/>
    <n v="134.91999999999999"/>
    <n v="1413.56"/>
    <x v="1"/>
    <s v="Compost"/>
    <n v="266.51"/>
    <n v="973.53"/>
    <s v="Alluvial"/>
    <n v="24.91"/>
    <x v="11"/>
    <n v="572.04831954027634"/>
    <n v="2.1464422330879755"/>
    <x v="6"/>
    <x v="17"/>
    <x v="5"/>
    <x v="1"/>
    <x v="0"/>
  </r>
  <r>
    <s v="CID238"/>
    <d v="2013-12-21T00:00:00"/>
    <x v="1"/>
    <x v="1"/>
    <s v="Amritsar"/>
    <x v="2"/>
    <x v="1"/>
    <n v="78.67"/>
    <n v="427.76"/>
    <n v="5437.46"/>
    <x v="3"/>
    <s v="Vermicompost"/>
    <n v="165.98"/>
    <n v="791.69"/>
    <s v="Laterite"/>
    <n v="34.97"/>
    <x v="112"/>
    <n v="2200.4653892070173"/>
    <n v="13.257412876292429"/>
    <x v="1"/>
    <x v="14"/>
    <x v="1"/>
    <x v="3"/>
    <x v="0"/>
  </r>
  <r>
    <s v="CID239"/>
    <d v="2012-08-18T00:00:00"/>
    <x v="2"/>
    <x v="4"/>
    <s v="Kolkata"/>
    <x v="1"/>
    <x v="3"/>
    <n v="3.37"/>
    <n v="14.32"/>
    <n v="4249.2700000000004"/>
    <x v="0"/>
    <s v="Urea"/>
    <n v="287.75"/>
    <n v="201.46"/>
    <s v="Laterite"/>
    <n v="32.74"/>
    <x v="109"/>
    <n v="1719.6212136541149"/>
    <n v="5.9760945739500082"/>
    <x v="4"/>
    <x v="4"/>
    <x v="3"/>
    <x v="0"/>
    <x v="1"/>
  </r>
  <r>
    <s v="CID240"/>
    <d v="2014-03-14T00:00:00"/>
    <x v="1"/>
    <x v="6"/>
    <s v="Hisar"/>
    <x v="2"/>
    <x v="3"/>
    <n v="96.16"/>
    <n v="657.29"/>
    <n v="6835.36"/>
    <x v="3"/>
    <s v="Compost"/>
    <n v="227.91"/>
    <n v="293.02999999999997"/>
    <s v="Red"/>
    <n v="33.46"/>
    <x v="37"/>
    <n v="2766.1763218065194"/>
    <n v="12.137143266230176"/>
    <x v="6"/>
    <x v="20"/>
    <x v="3"/>
    <x v="1"/>
    <x v="1"/>
  </r>
  <r>
    <s v="CID241"/>
    <d v="2017-04-09T00:00:00"/>
    <x v="6"/>
    <x v="0"/>
    <s v="Kanpur"/>
    <x v="0"/>
    <x v="5"/>
    <n v="58.5"/>
    <n v="235.91"/>
    <n v="4032.57"/>
    <x v="1"/>
    <s v="DAP"/>
    <n v="68.709999999999994"/>
    <n v="767.82"/>
    <s v="Laterite"/>
    <n v="29.94"/>
    <x v="17"/>
    <n v="1631.9256996013842"/>
    <n v="23.750919802086806"/>
    <x v="0"/>
    <x v="11"/>
    <x v="5"/>
    <x v="2"/>
    <x v="0"/>
  </r>
  <r>
    <s v="CID242"/>
    <d v="2016-03-29T00:00:00"/>
    <x v="10"/>
    <x v="2"/>
    <s v="Pune"/>
    <x v="2"/>
    <x v="2"/>
    <n v="83.36"/>
    <n v="246.54"/>
    <n v="2957.51"/>
    <x v="1"/>
    <s v="Urea"/>
    <n v="117.99"/>
    <n v="274.69"/>
    <s v="Red"/>
    <n v="22.04"/>
    <x v="105"/>
    <n v="1196.8636814309707"/>
    <n v="10.143772196211296"/>
    <x v="2"/>
    <x v="2"/>
    <x v="2"/>
    <x v="0"/>
    <x v="1"/>
  </r>
  <r>
    <s v="CID243"/>
    <d v="2012-12-01T00:00:00"/>
    <x v="2"/>
    <x v="6"/>
    <s v="Gurgaon"/>
    <x v="2"/>
    <x v="3"/>
    <n v="32.090000000000003"/>
    <n v="55.34"/>
    <n v="1724.42"/>
    <x v="2"/>
    <s v="Urea"/>
    <n v="291.16000000000003"/>
    <n v="407.64"/>
    <s v="Alluvial"/>
    <n v="26.95"/>
    <x v="113"/>
    <n v="697.84909249104635"/>
    <n v="2.3967890249039918"/>
    <x v="6"/>
    <x v="17"/>
    <x v="3"/>
    <x v="0"/>
    <x v="1"/>
  </r>
  <r>
    <s v="CID244"/>
    <d v="2014-04-04T00:00:00"/>
    <x v="9"/>
    <x v="6"/>
    <s v="Hisar"/>
    <x v="0"/>
    <x v="2"/>
    <n v="60.73"/>
    <n v="139.08000000000001"/>
    <n v="2290.12"/>
    <x v="2"/>
    <s v="NPK"/>
    <n v="87.08"/>
    <n v="911.16"/>
    <s v="Alluvial"/>
    <n v="25.94"/>
    <x v="31"/>
    <n v="926.78011371684102"/>
    <n v="10.642858448746452"/>
    <x v="6"/>
    <x v="20"/>
    <x v="2"/>
    <x v="4"/>
    <x v="1"/>
  </r>
  <r>
    <s v="CID245"/>
    <d v="2010-11-16T00:00:00"/>
    <x v="0"/>
    <x v="2"/>
    <s v="Nagpur"/>
    <x v="2"/>
    <x v="3"/>
    <n v="56.04"/>
    <n v="241.01"/>
    <n v="4300.7299999999996"/>
    <x v="0"/>
    <s v="DAP"/>
    <n v="165.51"/>
    <n v="1003.9"/>
    <s v="Red"/>
    <n v="21.82"/>
    <x v="80"/>
    <n v="1740.4463689524694"/>
    <n v="10.515656872409338"/>
    <x v="2"/>
    <x v="13"/>
    <x v="3"/>
    <x v="2"/>
    <x v="1"/>
  </r>
  <r>
    <s v="CID246"/>
    <d v="2017-02-22T00:00:00"/>
    <x v="4"/>
    <x v="6"/>
    <s v="Gurgaon"/>
    <x v="2"/>
    <x v="2"/>
    <n v="63.4"/>
    <n v="308.64"/>
    <n v="4868.1099999999997"/>
    <x v="2"/>
    <s v="DAP"/>
    <n v="279.36"/>
    <n v="274.99"/>
    <s v="Black"/>
    <n v="22.97"/>
    <x v="27"/>
    <n v="1970.0572631067764"/>
    <n v="7.0520377402161234"/>
    <x v="6"/>
    <x v="17"/>
    <x v="2"/>
    <x v="2"/>
    <x v="1"/>
  </r>
  <r>
    <s v="CID247"/>
    <d v="2011-09-18T00:00:00"/>
    <x v="5"/>
    <x v="1"/>
    <s v="Amritsar"/>
    <x v="1"/>
    <x v="3"/>
    <n v="6.01"/>
    <n v="39.33"/>
    <n v="6544.79"/>
    <x v="1"/>
    <s v="DAP"/>
    <n v="255.42"/>
    <n v="595"/>
    <s v="Black"/>
    <n v="25.74"/>
    <x v="114"/>
    <n v="2648.586633212602"/>
    <n v="10.369535013752259"/>
    <x v="1"/>
    <x v="14"/>
    <x v="3"/>
    <x v="2"/>
    <x v="1"/>
  </r>
  <r>
    <s v="CID248"/>
    <d v="2012-11-23T00:00:00"/>
    <x v="2"/>
    <x v="2"/>
    <s v="Nagpur"/>
    <x v="2"/>
    <x v="0"/>
    <n v="45.16"/>
    <n v="85.43"/>
    <n v="1891.79"/>
    <x v="3"/>
    <s v="NPK"/>
    <n v="211.82"/>
    <n v="698.89"/>
    <s v="Sandy"/>
    <n v="27.19"/>
    <x v="5"/>
    <n v="765.58143299407129"/>
    <n v="3.6143019214147452"/>
    <x v="2"/>
    <x v="13"/>
    <x v="0"/>
    <x v="4"/>
    <x v="0"/>
  </r>
  <r>
    <s v="CID249"/>
    <d v="2016-10-03T00:00:00"/>
    <x v="4"/>
    <x v="3"/>
    <s v="Bangalore"/>
    <x v="1"/>
    <x v="2"/>
    <n v="88.58"/>
    <n v="368.04"/>
    <n v="4154.88"/>
    <x v="0"/>
    <s v="NPK"/>
    <n v="297.35000000000002"/>
    <n v="981.92"/>
    <s v="Alluvial"/>
    <n v="27.2"/>
    <x v="14"/>
    <n v="1681.4228769146719"/>
    <n v="5.6546927086419094"/>
    <x v="3"/>
    <x v="3"/>
    <x v="2"/>
    <x v="4"/>
    <x v="1"/>
  </r>
  <r>
    <s v="CID250"/>
    <d v="2016-02-29T00:00:00"/>
    <x v="10"/>
    <x v="5"/>
    <s v="Bhagalpur"/>
    <x v="2"/>
    <x v="0"/>
    <n v="18.8"/>
    <n v="54.77"/>
    <n v="2913.27"/>
    <x v="3"/>
    <s v="Vermicompost"/>
    <n v="57.33"/>
    <n v="1010.69"/>
    <s v="Alluvial"/>
    <n v="20.88"/>
    <x v="107"/>
    <n v="1178.9603609801502"/>
    <n v="20.564457718125766"/>
    <x v="5"/>
    <x v="15"/>
    <x v="0"/>
    <x v="3"/>
    <x v="0"/>
  </r>
  <r>
    <s v="CID251"/>
    <d v="2013-09-08T00:00:00"/>
    <x v="1"/>
    <x v="2"/>
    <s v="Mumbai"/>
    <x v="1"/>
    <x v="5"/>
    <n v="25.54"/>
    <n v="62.49"/>
    <n v="2446.92"/>
    <x v="0"/>
    <s v="NPK"/>
    <n v="241.01"/>
    <n v="1147.8"/>
    <s v="Sandy"/>
    <n v="32.700000000000003"/>
    <x v="102"/>
    <n v="990.23492037797701"/>
    <n v="4.1086881057963449"/>
    <x v="2"/>
    <x v="19"/>
    <x v="5"/>
    <x v="4"/>
    <x v="0"/>
  </r>
  <r>
    <s v="CID252"/>
    <d v="2012-10-23T00:00:00"/>
    <x v="2"/>
    <x v="4"/>
    <s v="Kolkata"/>
    <x v="1"/>
    <x v="1"/>
    <n v="32.479999999999997"/>
    <n v="176.32"/>
    <n v="5428.63"/>
    <x v="2"/>
    <s v="DAP"/>
    <n v="278.5"/>
    <n v="228.21"/>
    <s v="Alluvial"/>
    <n v="34.21"/>
    <x v="2"/>
    <n v="2196.8920094696587"/>
    <n v="7.8883016498012877"/>
    <x v="4"/>
    <x v="4"/>
    <x v="1"/>
    <x v="2"/>
    <x v="0"/>
  </r>
  <r>
    <s v="CID253"/>
    <d v="2022-11-01T00:00:00"/>
    <x v="7"/>
    <x v="5"/>
    <s v="Patna"/>
    <x v="2"/>
    <x v="1"/>
    <n v="31.6"/>
    <n v="124.59"/>
    <n v="3942.62"/>
    <x v="0"/>
    <s v="NPK"/>
    <n v="64.040000000000006"/>
    <n v="801.66"/>
    <s v="Black"/>
    <n v="27.9"/>
    <x v="115"/>
    <n v="1595.5241698872949"/>
    <n v="24.914493595991484"/>
    <x v="5"/>
    <x v="7"/>
    <x v="1"/>
    <x v="4"/>
    <x v="0"/>
  </r>
  <r>
    <s v="CID254"/>
    <d v="2022-10-13T00:00:00"/>
    <x v="7"/>
    <x v="5"/>
    <s v="Patna"/>
    <x v="1"/>
    <x v="0"/>
    <n v="71.98"/>
    <n v="468.78"/>
    <n v="6512.68"/>
    <x v="2"/>
    <s v="NPK"/>
    <n v="64.89"/>
    <n v="347.71"/>
    <s v="Red"/>
    <n v="31.62"/>
    <x v="106"/>
    <n v="2635.5921571801464"/>
    <n v="40.616306937588938"/>
    <x v="5"/>
    <x v="7"/>
    <x v="0"/>
    <x v="4"/>
    <x v="0"/>
  </r>
  <r>
    <s v="CID255"/>
    <d v="2021-05-02T00:00:00"/>
    <x v="8"/>
    <x v="1"/>
    <s v="Amritsar"/>
    <x v="0"/>
    <x v="3"/>
    <n v="59.02"/>
    <n v="178.2"/>
    <n v="3019.37"/>
    <x v="2"/>
    <s v="NPK"/>
    <n v="84.11"/>
    <n v="357.5"/>
    <s v="Laterite"/>
    <n v="31.88"/>
    <x v="91"/>
    <n v="1221.8975739058294"/>
    <n v="14.52737574492723"/>
    <x v="1"/>
    <x v="14"/>
    <x v="3"/>
    <x v="4"/>
    <x v="1"/>
  </r>
  <r>
    <s v="CID256"/>
    <d v="2018-05-17T00:00:00"/>
    <x v="3"/>
    <x v="6"/>
    <s v="Hisar"/>
    <x v="0"/>
    <x v="1"/>
    <n v="78.91"/>
    <n v="184.6"/>
    <n v="2339.42"/>
    <x v="3"/>
    <s v="Urea"/>
    <n v="144.6"/>
    <n v="933.99"/>
    <s v="Alluvial"/>
    <n v="21.91"/>
    <x v="92"/>
    <n v="946.73114667853747"/>
    <n v="6.5472416782748102"/>
    <x v="6"/>
    <x v="20"/>
    <x v="1"/>
    <x v="0"/>
    <x v="0"/>
  </r>
  <r>
    <s v="CID257"/>
    <d v="2016-05-18T00:00:00"/>
    <x v="4"/>
    <x v="0"/>
    <s v="Varanasi"/>
    <x v="0"/>
    <x v="5"/>
    <n v="19.03"/>
    <n v="55.36"/>
    <n v="2909.3"/>
    <x v="3"/>
    <s v="Urea"/>
    <n v="209.91"/>
    <n v="304.11"/>
    <s v="Laterite"/>
    <n v="22.11"/>
    <x v="30"/>
    <n v="1177.3537565002732"/>
    <n v="5.6088502524904635"/>
    <x v="0"/>
    <x v="6"/>
    <x v="5"/>
    <x v="0"/>
    <x v="0"/>
  </r>
  <r>
    <s v="CID258"/>
    <d v="2015-08-29T00:00:00"/>
    <x v="10"/>
    <x v="6"/>
    <s v="Faridabad"/>
    <x v="1"/>
    <x v="2"/>
    <n v="88.65"/>
    <n v="135.84"/>
    <n v="1532.36"/>
    <x v="2"/>
    <s v="NPK"/>
    <n v="161.66"/>
    <n v="465.21"/>
    <s v="Red"/>
    <n v="30.4"/>
    <x v="75"/>
    <n v="620.12504805649417"/>
    <n v="3.8359832243999392"/>
    <x v="6"/>
    <x v="18"/>
    <x v="2"/>
    <x v="4"/>
    <x v="1"/>
  </r>
  <r>
    <s v="CID259"/>
    <d v="2021-09-05T00:00:00"/>
    <x v="8"/>
    <x v="4"/>
    <s v="Kolkata"/>
    <x v="1"/>
    <x v="5"/>
    <n v="39.21"/>
    <n v="211.56"/>
    <n v="5395.51"/>
    <x v="3"/>
    <s v="Urea"/>
    <n v="271.14"/>
    <n v="693.08"/>
    <s v="Laterite"/>
    <n v="25.27"/>
    <x v="116"/>
    <n v="2183.4888003075616"/>
    <n v="8.0529940263611479"/>
    <x v="4"/>
    <x v="4"/>
    <x v="5"/>
    <x v="0"/>
    <x v="0"/>
  </r>
  <r>
    <s v="CID260"/>
    <d v="2022-04-17T00:00:00"/>
    <x v="7"/>
    <x v="4"/>
    <s v="Howrah"/>
    <x v="0"/>
    <x v="2"/>
    <n v="76.069999999999993"/>
    <n v="179.03"/>
    <n v="2353.5"/>
    <x v="1"/>
    <s v="Urea"/>
    <n v="68.430000000000007"/>
    <n v="1045.76"/>
    <s v="Alluvial"/>
    <n v="20.3"/>
    <x v="72"/>
    <n v="952.42912931749663"/>
    <n v="13.918297958753421"/>
    <x v="4"/>
    <x v="16"/>
    <x v="2"/>
    <x v="0"/>
    <x v="1"/>
  </r>
  <r>
    <s v="CID261"/>
    <d v="2013-02-19T00:00:00"/>
    <x v="2"/>
    <x v="1"/>
    <s v="Amritsar"/>
    <x v="2"/>
    <x v="4"/>
    <n v="73.47"/>
    <n v="314.62"/>
    <n v="4282.28"/>
    <x v="0"/>
    <s v="DAP"/>
    <n v="134.49"/>
    <n v="1185.28"/>
    <s v="Laterite"/>
    <n v="30.57"/>
    <x v="15"/>
    <n v="1732.9799073268448"/>
    <n v="12.885567011129785"/>
    <x v="1"/>
    <x v="14"/>
    <x v="4"/>
    <x v="2"/>
    <x v="0"/>
  </r>
  <r>
    <s v="CID262"/>
    <d v="2012-08-12T00:00:00"/>
    <x v="2"/>
    <x v="5"/>
    <s v="Gaya"/>
    <x v="1"/>
    <x v="5"/>
    <n v="33.78"/>
    <n v="231.27"/>
    <n v="6846.39"/>
    <x v="1"/>
    <s v="NPK"/>
    <n v="224.3"/>
    <n v="922.04"/>
    <s v="Sandy"/>
    <n v="23.98"/>
    <x v="109"/>
    <n v="2770.6400113312156"/>
    <n v="12.352385248913132"/>
    <x v="5"/>
    <x v="8"/>
    <x v="5"/>
    <x v="4"/>
    <x v="0"/>
  </r>
  <r>
    <s v="CID263"/>
    <d v="2011-03-03T00:00:00"/>
    <x v="0"/>
    <x v="6"/>
    <s v="Gurgaon"/>
    <x v="2"/>
    <x v="1"/>
    <n v="55.42"/>
    <n v="218.67"/>
    <n v="3945.69"/>
    <x v="0"/>
    <s v="DAP"/>
    <n v="140.21"/>
    <n v="627.61"/>
    <s v="Alluvial"/>
    <n v="32.36"/>
    <x v="88"/>
    <n v="1596.7665567268975"/>
    <n v="11.388392815968173"/>
    <x v="6"/>
    <x v="17"/>
    <x v="1"/>
    <x v="2"/>
    <x v="0"/>
  </r>
  <r>
    <s v="CID264"/>
    <d v="2013-08-07T00:00:00"/>
    <x v="1"/>
    <x v="1"/>
    <s v="Ludhiana"/>
    <x v="1"/>
    <x v="2"/>
    <n v="29.89"/>
    <n v="44.58"/>
    <n v="1491.62"/>
    <x v="0"/>
    <s v="Urea"/>
    <n v="127.09"/>
    <n v="597.47"/>
    <s v="Laterite"/>
    <n v="33.42"/>
    <x v="117"/>
    <n v="603.63812954007403"/>
    <n v="4.7496902159105678"/>
    <x v="1"/>
    <x v="1"/>
    <x v="2"/>
    <x v="0"/>
    <x v="1"/>
  </r>
  <r>
    <s v="CID265"/>
    <d v="2016-08-08T00:00:00"/>
    <x v="4"/>
    <x v="0"/>
    <s v="Varanasi"/>
    <x v="1"/>
    <x v="0"/>
    <n v="88.66"/>
    <n v="285.17"/>
    <n v="3216.41"/>
    <x v="1"/>
    <s v="Vermicompost"/>
    <n v="61.15"/>
    <n v="639.74"/>
    <s v="Alluvial"/>
    <n v="23.39"/>
    <x v="118"/>
    <n v="1301.6369559498999"/>
    <n v="21.285968208502041"/>
    <x v="0"/>
    <x v="6"/>
    <x v="0"/>
    <x v="3"/>
    <x v="0"/>
  </r>
  <r>
    <s v="CID266"/>
    <d v="2022-04-25T00:00:00"/>
    <x v="7"/>
    <x v="1"/>
    <s v="Ludhiana"/>
    <x v="0"/>
    <x v="2"/>
    <n v="10.57"/>
    <n v="52.94"/>
    <n v="5008.8500000000004"/>
    <x v="1"/>
    <s v="Vermicompost"/>
    <n v="292.68"/>
    <n v="789.73"/>
    <s v="Sandy"/>
    <n v="20.91"/>
    <x v="72"/>
    <n v="2027.0128083203499"/>
    <n v="6.9256963520580497"/>
    <x v="1"/>
    <x v="1"/>
    <x v="2"/>
    <x v="3"/>
    <x v="1"/>
  </r>
  <r>
    <s v="CID267"/>
    <d v="2021-03-13T00:00:00"/>
    <x v="11"/>
    <x v="3"/>
    <s v="Hubli"/>
    <x v="2"/>
    <x v="1"/>
    <n v="88.28"/>
    <n v="340.55"/>
    <n v="3857.57"/>
    <x v="0"/>
    <s v="Vermicompost"/>
    <n v="148.69999999999999"/>
    <n v="1053.94"/>
    <s v="Black"/>
    <n v="27.53"/>
    <x v="34"/>
    <n v="1561.1056028813664"/>
    <n v="10.498356441703876"/>
    <x v="3"/>
    <x v="12"/>
    <x v="1"/>
    <x v="3"/>
    <x v="0"/>
  </r>
  <r>
    <s v="CID268"/>
    <d v="2012-09-20T00:00:00"/>
    <x v="2"/>
    <x v="0"/>
    <s v="Varanasi"/>
    <x v="1"/>
    <x v="3"/>
    <n v="18.12"/>
    <n v="125.14"/>
    <n v="6906.21"/>
    <x v="3"/>
    <s v="DAP"/>
    <n v="252.12"/>
    <n v="326.19"/>
    <s v="Laterite"/>
    <n v="21.18"/>
    <x v="119"/>
    <n v="2794.8483438214525"/>
    <n v="11.085389274240253"/>
    <x v="0"/>
    <x v="6"/>
    <x v="3"/>
    <x v="2"/>
    <x v="1"/>
  </r>
  <r>
    <s v="CID269"/>
    <d v="2012-04-18T00:00:00"/>
    <x v="2"/>
    <x v="4"/>
    <s v="Darjeeling"/>
    <x v="0"/>
    <x v="0"/>
    <n v="32.659999999999997"/>
    <n v="175.14"/>
    <n v="5362.62"/>
    <x v="0"/>
    <s v="Vermicompost"/>
    <n v="71.760000000000005"/>
    <n v="756.36"/>
    <s v="Sandy"/>
    <n v="24.89"/>
    <x v="101"/>
    <n v="2170.1786689868677"/>
    <n v="30.24217766146694"/>
    <x v="4"/>
    <x v="9"/>
    <x v="0"/>
    <x v="3"/>
    <x v="0"/>
  </r>
  <r>
    <s v="CID270"/>
    <d v="2022-05-31T00:00:00"/>
    <x v="7"/>
    <x v="3"/>
    <s v="Bangalore"/>
    <x v="0"/>
    <x v="1"/>
    <n v="59.17"/>
    <n v="336.68"/>
    <n v="5690.11"/>
    <x v="0"/>
    <s v="Urea"/>
    <n v="153.61000000000001"/>
    <n v="348.2"/>
    <s v="Sandy"/>
    <n v="28.74"/>
    <x v="11"/>
    <n v="2302.7093745573743"/>
    <n v="14.990621538684813"/>
    <x v="3"/>
    <x v="3"/>
    <x v="1"/>
    <x v="0"/>
    <x v="0"/>
  </r>
  <r>
    <s v="CID271"/>
    <d v="2022-06-10T00:00:00"/>
    <x v="7"/>
    <x v="1"/>
    <s v="Patiala"/>
    <x v="1"/>
    <x v="0"/>
    <n v="86.88"/>
    <n v="545.67999999999995"/>
    <n v="6280.81"/>
    <x v="1"/>
    <s v="DAP"/>
    <n v="116.03"/>
    <n v="854.79"/>
    <s v="Sandy"/>
    <n v="29.13"/>
    <x v="24"/>
    <n v="2541.7575524574577"/>
    <n v="21.906037683852947"/>
    <x v="1"/>
    <x v="10"/>
    <x v="0"/>
    <x v="2"/>
    <x v="0"/>
  </r>
  <r>
    <s v="CID272"/>
    <d v="2012-05-01T00:00:00"/>
    <x v="2"/>
    <x v="2"/>
    <s v="Pune"/>
    <x v="0"/>
    <x v="1"/>
    <n v="68.400000000000006"/>
    <n v="233.27"/>
    <n v="3410.32"/>
    <x v="1"/>
    <s v="NPK"/>
    <n v="272.39"/>
    <n v="531.49"/>
    <s v="Red"/>
    <n v="20.74"/>
    <x v="7"/>
    <n v="1380.1096699783493"/>
    <n v="5.0666679025601136"/>
    <x v="2"/>
    <x v="2"/>
    <x v="1"/>
    <x v="4"/>
    <x v="0"/>
  </r>
  <r>
    <s v="CID273"/>
    <d v="2016-02-22T00:00:00"/>
    <x v="10"/>
    <x v="2"/>
    <s v="Nagpur"/>
    <x v="2"/>
    <x v="0"/>
    <n v="28.75"/>
    <n v="113.55"/>
    <n v="3949.72"/>
    <x v="0"/>
    <s v="NPK"/>
    <n v="293.12"/>
    <n v="427.96"/>
    <s v="Alluvial"/>
    <n v="34.61"/>
    <x v="107"/>
    <n v="1598.3974423827926"/>
    <n v="5.4530480430635668"/>
    <x v="2"/>
    <x v="13"/>
    <x v="0"/>
    <x v="4"/>
    <x v="0"/>
  </r>
  <r>
    <s v="CID274"/>
    <d v="2016-05-03T00:00:00"/>
    <x v="4"/>
    <x v="2"/>
    <s v="Mumbai"/>
    <x v="0"/>
    <x v="2"/>
    <n v="9.84"/>
    <n v="35.92"/>
    <n v="3650.3"/>
    <x v="1"/>
    <s v="DAP"/>
    <n v="235.24"/>
    <n v="959.49"/>
    <s v="Alluvial"/>
    <n v="32.32"/>
    <x v="30"/>
    <n v="1477.2262803261772"/>
    <n v="6.2796560122690748"/>
    <x v="2"/>
    <x v="19"/>
    <x v="2"/>
    <x v="2"/>
    <x v="1"/>
  </r>
  <r>
    <s v="CID275"/>
    <d v="2021-04-16T00:00:00"/>
    <x v="8"/>
    <x v="1"/>
    <s v="Amritsar"/>
    <x v="0"/>
    <x v="3"/>
    <n v="14.43"/>
    <n v="88.14"/>
    <n v="6107.77"/>
    <x v="0"/>
    <s v="Urea"/>
    <n v="93.43"/>
    <n v="1075.18"/>
    <s v="Red"/>
    <n v="32.549999999999997"/>
    <x v="16"/>
    <n v="2471.7306408207041"/>
    <n v="26.45542802976243"/>
    <x v="1"/>
    <x v="14"/>
    <x v="3"/>
    <x v="0"/>
    <x v="1"/>
  </r>
  <r>
    <s v="CID276"/>
    <d v="2015-05-02T00:00:00"/>
    <x v="10"/>
    <x v="3"/>
    <s v="Bangalore"/>
    <x v="0"/>
    <x v="4"/>
    <n v="28.12"/>
    <n v="167.06"/>
    <n v="5941.04"/>
    <x v="1"/>
    <s v="Vermicompost"/>
    <n v="208.85"/>
    <n v="323.87"/>
    <s v="Black"/>
    <n v="23.63"/>
    <x v="84"/>
    <n v="2404.2572995285404"/>
    <n v="11.511885561544364"/>
    <x v="3"/>
    <x v="3"/>
    <x v="4"/>
    <x v="3"/>
    <x v="0"/>
  </r>
  <r>
    <s v="CID277"/>
    <d v="2017-04-04T00:00:00"/>
    <x v="6"/>
    <x v="3"/>
    <s v="Bangalore"/>
    <x v="0"/>
    <x v="1"/>
    <n v="35.630000000000003"/>
    <n v="70.59"/>
    <n v="1981.08"/>
    <x v="2"/>
    <s v="DAP"/>
    <n v="237.24"/>
    <n v="888.85"/>
    <s v="Alluvial"/>
    <n v="20.41"/>
    <x v="17"/>
    <n v="801.71586977195932"/>
    <n v="3.379345261220533"/>
    <x v="3"/>
    <x v="3"/>
    <x v="1"/>
    <x v="2"/>
    <x v="0"/>
  </r>
  <r>
    <s v="CID278"/>
    <d v="2022-07-04T00:00:00"/>
    <x v="7"/>
    <x v="4"/>
    <s v="Darjeeling"/>
    <x v="1"/>
    <x v="4"/>
    <n v="65.09"/>
    <n v="329.76"/>
    <n v="5066.17"/>
    <x v="2"/>
    <s v="DAP"/>
    <n v="212.9"/>
    <n v="713.28"/>
    <s v="Black"/>
    <n v="27.11"/>
    <x v="70"/>
    <n v="2050.2094251431577"/>
    <n v="9.629917450179228"/>
    <x v="4"/>
    <x v="9"/>
    <x v="4"/>
    <x v="2"/>
    <x v="0"/>
  </r>
  <r>
    <s v="CID279"/>
    <d v="2013-12-26T00:00:00"/>
    <x v="1"/>
    <x v="5"/>
    <s v="Patna"/>
    <x v="2"/>
    <x v="1"/>
    <n v="80.7"/>
    <n v="228.6"/>
    <n v="2832.76"/>
    <x v="2"/>
    <s v="Compost"/>
    <n v="155.94999999999999"/>
    <n v="576.48"/>
    <s v="Alluvial"/>
    <n v="26.88"/>
    <x v="112"/>
    <n v="1146.3790696262724"/>
    <n v="7.3509398501203753"/>
    <x v="5"/>
    <x v="7"/>
    <x v="1"/>
    <x v="1"/>
    <x v="0"/>
  </r>
  <r>
    <s v="CID280"/>
    <d v="2018-04-07T00:00:00"/>
    <x v="3"/>
    <x v="2"/>
    <s v="Mumbai"/>
    <x v="0"/>
    <x v="3"/>
    <n v="58.86"/>
    <n v="61.46"/>
    <n v="1044.0899999999999"/>
    <x v="2"/>
    <s v="Compost"/>
    <n v="190.36"/>
    <n v="793.77"/>
    <s v="Alluvial"/>
    <n v="24.48"/>
    <x v="59"/>
    <n v="422.52888448230505"/>
    <n v="2.2196306182092091"/>
    <x v="2"/>
    <x v="19"/>
    <x v="3"/>
    <x v="1"/>
    <x v="1"/>
  </r>
  <r>
    <s v="CID281"/>
    <d v="2014-05-22T00:00:00"/>
    <x v="9"/>
    <x v="1"/>
    <s v="Amritsar"/>
    <x v="0"/>
    <x v="0"/>
    <n v="86.29"/>
    <n v="221.5"/>
    <n v="2566.88"/>
    <x v="2"/>
    <s v="Vermicompost"/>
    <n v="97.09"/>
    <n v="717.29"/>
    <s v="Red"/>
    <n v="33.5"/>
    <x v="58"/>
    <n v="1038.7810849638818"/>
    <n v="10.699156297907939"/>
    <x v="1"/>
    <x v="14"/>
    <x v="0"/>
    <x v="3"/>
    <x v="0"/>
  </r>
  <r>
    <s v="CID282"/>
    <d v="2015-05-08T00:00:00"/>
    <x v="10"/>
    <x v="3"/>
    <s v="Hubli"/>
    <x v="0"/>
    <x v="4"/>
    <n v="72.41"/>
    <n v="357.16"/>
    <n v="4932.3999999999996"/>
    <x v="2"/>
    <s v="Vermicompost"/>
    <n v="114.86"/>
    <n v="618.57000000000005"/>
    <s v="Laterite"/>
    <n v="31.05"/>
    <x v="84"/>
    <n v="1996.0745432103761"/>
    <n v="17.378326164116107"/>
    <x v="3"/>
    <x v="12"/>
    <x v="4"/>
    <x v="3"/>
    <x v="0"/>
  </r>
  <r>
    <s v="CID283"/>
    <d v="2015-04-11T00:00:00"/>
    <x v="10"/>
    <x v="4"/>
    <s v="Kolkata"/>
    <x v="0"/>
    <x v="2"/>
    <n v="23.01"/>
    <n v="96.82"/>
    <n v="4207.8100000000004"/>
    <x v="1"/>
    <s v="Vermicompost"/>
    <n v="276.63"/>
    <n v="871.87"/>
    <s v="Sandy"/>
    <n v="24.5"/>
    <x v="93"/>
    <n v="1702.8429210254751"/>
    <n v="6.1556697430700762"/>
    <x v="4"/>
    <x v="4"/>
    <x v="2"/>
    <x v="3"/>
    <x v="1"/>
  </r>
  <r>
    <s v="CID284"/>
    <d v="2011-12-28T00:00:00"/>
    <x v="5"/>
    <x v="6"/>
    <s v="Faridabad"/>
    <x v="2"/>
    <x v="4"/>
    <n v="74.349999999999994"/>
    <n v="397.86"/>
    <n v="5351.12"/>
    <x v="3"/>
    <s v="NPK"/>
    <n v="286.73"/>
    <n v="1099.5899999999999"/>
    <s v="Black"/>
    <n v="23.33"/>
    <x v="104"/>
    <n v="2165.5247769166954"/>
    <n v="7.5524876256990732"/>
    <x v="6"/>
    <x v="18"/>
    <x v="4"/>
    <x v="4"/>
    <x v="0"/>
  </r>
  <r>
    <s v="CID285"/>
    <d v="2015-11-19T00:00:00"/>
    <x v="10"/>
    <x v="3"/>
    <s v="Mysore"/>
    <x v="2"/>
    <x v="1"/>
    <n v="30.11"/>
    <n v="183.89"/>
    <n v="6107.28"/>
    <x v="1"/>
    <s v="Compost"/>
    <n v="63.42"/>
    <n v="834.4"/>
    <s v="Sandy"/>
    <n v="34.159999999999997"/>
    <x v="120"/>
    <n v="2471.5323445498875"/>
    <n v="38.970866359979304"/>
    <x v="3"/>
    <x v="5"/>
    <x v="1"/>
    <x v="1"/>
    <x v="0"/>
  </r>
  <r>
    <s v="CID286"/>
    <d v="2011-05-28T00:00:00"/>
    <x v="5"/>
    <x v="6"/>
    <s v="Hisar"/>
    <x v="0"/>
    <x v="3"/>
    <n v="53.45"/>
    <n v="185.93"/>
    <n v="3478.64"/>
    <x v="3"/>
    <s v="Compost"/>
    <n v="84.34"/>
    <n v="400.3"/>
    <s v="Laterite"/>
    <n v="34.81"/>
    <x v="8"/>
    <n v="1407.7578357378443"/>
    <n v="16.691461177825992"/>
    <x v="6"/>
    <x v="20"/>
    <x v="3"/>
    <x v="1"/>
    <x v="1"/>
  </r>
  <r>
    <s v="CID287"/>
    <d v="2021-07-14T00:00:00"/>
    <x v="8"/>
    <x v="6"/>
    <s v="Faridabad"/>
    <x v="1"/>
    <x v="5"/>
    <n v="49.27"/>
    <n v="235.82"/>
    <n v="4786.2"/>
    <x v="3"/>
    <s v="Vermicompost"/>
    <n v="128.35"/>
    <n v="258.01"/>
    <s v="Laterite"/>
    <n v="24.1"/>
    <x v="40"/>
    <n v="1936.9094109791383"/>
    <n v="15.09084075558347"/>
    <x v="6"/>
    <x v="18"/>
    <x v="5"/>
    <x v="3"/>
    <x v="0"/>
  </r>
  <r>
    <s v="CID288"/>
    <d v="2017-07-22T00:00:00"/>
    <x v="6"/>
    <x v="4"/>
    <s v="Kolkata"/>
    <x v="1"/>
    <x v="4"/>
    <n v="61.83"/>
    <n v="296.83999999999997"/>
    <n v="4800.93"/>
    <x v="1"/>
    <s v="NPK"/>
    <n v="157.26"/>
    <n v="677.4"/>
    <s v="Black"/>
    <n v="20.57"/>
    <x v="25"/>
    <n v="1942.8704396916291"/>
    <n v="12.354511253285192"/>
    <x v="4"/>
    <x v="4"/>
    <x v="4"/>
    <x v="4"/>
    <x v="0"/>
  </r>
  <r>
    <s v="CID289"/>
    <d v="2022-04-25T00:00:00"/>
    <x v="7"/>
    <x v="1"/>
    <s v="Amritsar"/>
    <x v="0"/>
    <x v="4"/>
    <n v="2.77"/>
    <n v="2.84"/>
    <n v="1024.74"/>
    <x v="3"/>
    <s v="Vermicompost"/>
    <n v="106.57"/>
    <n v="1076.99"/>
    <s v="Alluvial"/>
    <n v="21.93"/>
    <x v="72"/>
    <n v="414.698205216406"/>
    <n v="3.8913221846336308"/>
    <x v="1"/>
    <x v="14"/>
    <x v="4"/>
    <x v="3"/>
    <x v="0"/>
  </r>
  <r>
    <s v="CID290"/>
    <d v="2012-10-04T00:00:00"/>
    <x v="2"/>
    <x v="5"/>
    <s v="Gaya"/>
    <x v="1"/>
    <x v="5"/>
    <n v="30.52"/>
    <n v="83.78"/>
    <n v="2744.97"/>
    <x v="2"/>
    <s v="NPK"/>
    <n v="158.41999999999999"/>
    <n v="886.78"/>
    <s v="Red"/>
    <n v="25.14"/>
    <x v="2"/>
    <n v="1110.8516622488414"/>
    <n v="7.0120670511857188"/>
    <x v="5"/>
    <x v="8"/>
    <x v="5"/>
    <x v="4"/>
    <x v="0"/>
  </r>
  <r>
    <s v="CID291"/>
    <d v="2013-02-02T00:00:00"/>
    <x v="2"/>
    <x v="4"/>
    <s v="Kolkata"/>
    <x v="2"/>
    <x v="5"/>
    <n v="23.61"/>
    <n v="126.62"/>
    <n v="5363.01"/>
    <x v="3"/>
    <s v="Urea"/>
    <n v="102.8"/>
    <n v="221.91"/>
    <s v="Sandy"/>
    <n v="22.53"/>
    <x v="15"/>
    <n v="2170.3364966309869"/>
    <n v="21.112222729873412"/>
    <x v="4"/>
    <x v="4"/>
    <x v="5"/>
    <x v="0"/>
    <x v="0"/>
  </r>
  <r>
    <s v="CID292"/>
    <d v="2014-04-25T00:00:00"/>
    <x v="9"/>
    <x v="3"/>
    <s v="Hubli"/>
    <x v="0"/>
    <x v="1"/>
    <n v="5.81"/>
    <n v="40.479999999999997"/>
    <n v="6968.08"/>
    <x v="0"/>
    <s v="Urea"/>
    <n v="213.39"/>
    <n v="219.74"/>
    <s v="Black"/>
    <n v="26.25"/>
    <x v="31"/>
    <n v="2819.8862831589809"/>
    <n v="13.214706795815085"/>
    <x v="3"/>
    <x v="12"/>
    <x v="1"/>
    <x v="0"/>
    <x v="0"/>
  </r>
  <r>
    <s v="CID293"/>
    <d v="2017-05-09T00:00:00"/>
    <x v="6"/>
    <x v="5"/>
    <s v="Gaya"/>
    <x v="0"/>
    <x v="4"/>
    <n v="21.34"/>
    <n v="109.14"/>
    <n v="5114.4399999999996"/>
    <x v="0"/>
    <s v="DAP"/>
    <n v="125.28"/>
    <n v="861.66"/>
    <s v="Sandy"/>
    <n v="24.05"/>
    <x v="121"/>
    <n v="2069.7436312498735"/>
    <n v="16.520942139606269"/>
    <x v="5"/>
    <x v="8"/>
    <x v="4"/>
    <x v="2"/>
    <x v="0"/>
  </r>
  <r>
    <s v="CID294"/>
    <d v="2018-04-13T00:00:00"/>
    <x v="3"/>
    <x v="3"/>
    <s v="Bangalore"/>
    <x v="0"/>
    <x v="1"/>
    <n v="12.66"/>
    <n v="21.32"/>
    <n v="1684.08"/>
    <x v="0"/>
    <s v="NPK"/>
    <n v="174.43"/>
    <n v="809"/>
    <s v="Alluvial"/>
    <n v="32.47"/>
    <x v="59"/>
    <n v="681.52404848141475"/>
    <n v="3.9071492775406451"/>
    <x v="3"/>
    <x v="3"/>
    <x v="1"/>
    <x v="4"/>
    <x v="0"/>
  </r>
  <r>
    <s v="CID295"/>
    <d v="2014-10-25T00:00:00"/>
    <x v="9"/>
    <x v="0"/>
    <s v="Kanpur"/>
    <x v="1"/>
    <x v="5"/>
    <n v="55.27"/>
    <n v="357.16"/>
    <n v="6462.14"/>
    <x v="1"/>
    <s v="Compost"/>
    <n v="132.65"/>
    <n v="202.74"/>
    <s v="Black"/>
    <n v="33.6"/>
    <x v="122"/>
    <n v="2615.139313247405"/>
    <n v="19.714582082528494"/>
    <x v="0"/>
    <x v="11"/>
    <x v="5"/>
    <x v="1"/>
    <x v="0"/>
  </r>
  <r>
    <s v="CID296"/>
    <d v="2022-04-04T00:00:00"/>
    <x v="7"/>
    <x v="6"/>
    <s v="Gurgaon"/>
    <x v="0"/>
    <x v="5"/>
    <n v="72.63"/>
    <n v="116.77"/>
    <n v="1607.74"/>
    <x v="2"/>
    <s v="Urea"/>
    <n v="211.08"/>
    <n v="656.75"/>
    <s v="Alluvial"/>
    <n v="23.96"/>
    <x v="72"/>
    <n v="650.63029886080813"/>
    <n v="3.082387241144628"/>
    <x v="6"/>
    <x v="17"/>
    <x v="5"/>
    <x v="0"/>
    <x v="0"/>
  </r>
  <r>
    <s v="CID297"/>
    <d v="2010-12-06T00:00:00"/>
    <x v="0"/>
    <x v="4"/>
    <s v="Kolkata"/>
    <x v="2"/>
    <x v="0"/>
    <n v="80.36"/>
    <n v="231.13"/>
    <n v="2876.24"/>
    <x v="0"/>
    <s v="DAP"/>
    <n v="73.75"/>
    <n v="958.2"/>
    <s v="Black"/>
    <n v="20.149999999999999"/>
    <x v="50"/>
    <n v="1163.9748285141943"/>
    <n v="15.782709539175515"/>
    <x v="4"/>
    <x v="4"/>
    <x v="0"/>
    <x v="2"/>
    <x v="0"/>
  </r>
  <r>
    <s v="CID298"/>
    <d v="2017-04-25T00:00:00"/>
    <x v="6"/>
    <x v="2"/>
    <s v="Pune"/>
    <x v="0"/>
    <x v="0"/>
    <n v="87.97"/>
    <n v="137.03"/>
    <n v="1557.71"/>
    <x v="2"/>
    <s v="Compost"/>
    <n v="95.72"/>
    <n v="600.78"/>
    <s v="Laterite"/>
    <n v="24.08"/>
    <x v="17"/>
    <n v="630.38384492422256"/>
    <n v="6.58570669582347"/>
    <x v="2"/>
    <x v="2"/>
    <x v="0"/>
    <x v="1"/>
    <x v="0"/>
  </r>
  <r>
    <s v="CID299"/>
    <d v="2020-09-21T00:00:00"/>
    <x v="11"/>
    <x v="4"/>
    <s v="Howrah"/>
    <x v="1"/>
    <x v="5"/>
    <n v="14.12"/>
    <n v="75.66"/>
    <n v="5358.47"/>
    <x v="3"/>
    <s v="DAP"/>
    <n v="75.930000000000007"/>
    <n v="1111.23"/>
    <s v="Laterite"/>
    <n v="32.03"/>
    <x v="41"/>
    <n v="2168.4992209789361"/>
    <n v="28.55918900275169"/>
    <x v="4"/>
    <x v="16"/>
    <x v="5"/>
    <x v="2"/>
    <x v="0"/>
  </r>
  <r>
    <s v="CID300"/>
    <d v="2022-11-17T00:00:00"/>
    <x v="7"/>
    <x v="5"/>
    <s v="Gaya"/>
    <x v="2"/>
    <x v="1"/>
    <n v="3.85"/>
    <n v="19.66"/>
    <n v="5106.78"/>
    <x v="3"/>
    <s v="NPK"/>
    <n v="170.77"/>
    <n v="688.12"/>
    <s v="Laterite"/>
    <n v="26.61"/>
    <x v="115"/>
    <n v="2066.6437344448714"/>
    <n v="12.101913301193836"/>
    <x v="5"/>
    <x v="8"/>
    <x v="1"/>
    <x v="4"/>
    <x v="0"/>
  </r>
  <r>
    <s v="CID301"/>
    <d v="2010-05-15T00:00:00"/>
    <x v="0"/>
    <x v="0"/>
    <s v="Kanpur"/>
    <x v="0"/>
    <x v="2"/>
    <n v="52.96"/>
    <n v="289.25"/>
    <n v="5461.74"/>
    <x v="3"/>
    <s v="Vermicompost"/>
    <n v="294.47000000000003"/>
    <n v="869.84"/>
    <s v="Alluvial"/>
    <n v="27.79"/>
    <x v="61"/>
    <n v="2210.2911717690858"/>
    <n v="7.505997798652106"/>
    <x v="0"/>
    <x v="11"/>
    <x v="2"/>
    <x v="3"/>
    <x v="1"/>
  </r>
  <r>
    <s v="CID302"/>
    <d v="2020-05-12T00:00:00"/>
    <x v="11"/>
    <x v="1"/>
    <s v="Amritsar"/>
    <x v="0"/>
    <x v="4"/>
    <n v="48.71"/>
    <n v="242.69"/>
    <n v="4982.26"/>
    <x v="1"/>
    <s v="DAP"/>
    <n v="87.16"/>
    <n v="1026.44"/>
    <s v="Sandy"/>
    <n v="20.82"/>
    <x v="28"/>
    <n v="2016.2522004815767"/>
    <n v="23.132769624616529"/>
    <x v="1"/>
    <x v="14"/>
    <x v="4"/>
    <x v="2"/>
    <x v="0"/>
  </r>
  <r>
    <s v="CID303"/>
    <d v="2017-09-05T00:00:00"/>
    <x v="6"/>
    <x v="5"/>
    <s v="Gaya"/>
    <x v="1"/>
    <x v="5"/>
    <n v="75.39"/>
    <n v="220.43"/>
    <n v="2923.8"/>
    <x v="2"/>
    <s v="Compost"/>
    <n v="292.54000000000002"/>
    <n v="250.35"/>
    <s v="Red"/>
    <n v="28.26"/>
    <x v="103"/>
    <n v="1183.2217073713605"/>
    <n v="4.0446493039288995"/>
    <x v="5"/>
    <x v="8"/>
    <x v="5"/>
    <x v="1"/>
    <x v="0"/>
  </r>
  <r>
    <s v="CID304"/>
    <d v="2011-11-05T00:00:00"/>
    <x v="5"/>
    <x v="4"/>
    <s v="Kolkata"/>
    <x v="2"/>
    <x v="3"/>
    <n v="80.319999999999993"/>
    <n v="296.27"/>
    <n v="3688.59"/>
    <x v="1"/>
    <s v="Urea"/>
    <n v="161.77000000000001"/>
    <n v="318.70999999999998"/>
    <s v="Laterite"/>
    <n v="31.18"/>
    <x v="73"/>
    <n v="1492.721717488517"/>
    <n v="9.2274322648730731"/>
    <x v="4"/>
    <x v="4"/>
    <x v="3"/>
    <x v="0"/>
    <x v="1"/>
  </r>
  <r>
    <s v="CID305"/>
    <d v="2010-04-24T00:00:00"/>
    <x v="0"/>
    <x v="3"/>
    <s v="Mysore"/>
    <x v="0"/>
    <x v="1"/>
    <n v="1.02"/>
    <n v="1.58"/>
    <n v="1545.37"/>
    <x v="2"/>
    <s v="Urea"/>
    <n v="272.52999999999997"/>
    <n v="762.33"/>
    <s v="Laterite"/>
    <n v="34.26"/>
    <x v="0"/>
    <n v="625.3900163897938"/>
    <n v="2.2947566007037534"/>
    <x v="3"/>
    <x v="5"/>
    <x v="1"/>
    <x v="0"/>
    <x v="0"/>
  </r>
  <r>
    <s v="CID306"/>
    <d v="2018-01-30T00:00:00"/>
    <x v="6"/>
    <x v="4"/>
    <s v="Kolkata"/>
    <x v="2"/>
    <x v="1"/>
    <n v="76.97"/>
    <n v="354.04"/>
    <n v="4599.71"/>
    <x v="2"/>
    <s v="NPK"/>
    <n v="228.98"/>
    <n v="314.02"/>
    <s v="Red"/>
    <n v="20.03"/>
    <x v="83"/>
    <n v="1861.4394690516178"/>
    <n v="8.1292666130300368"/>
    <x v="4"/>
    <x v="4"/>
    <x v="1"/>
    <x v="4"/>
    <x v="0"/>
  </r>
  <r>
    <s v="CID307"/>
    <d v="2015-05-10T00:00:00"/>
    <x v="10"/>
    <x v="5"/>
    <s v="Bhagalpur"/>
    <x v="0"/>
    <x v="5"/>
    <n v="5.53"/>
    <n v="10.98"/>
    <n v="1984.93"/>
    <x v="3"/>
    <s v="DAP"/>
    <n v="255.46"/>
    <n v="942.51"/>
    <s v="Laterite"/>
    <n v="21.6"/>
    <x v="84"/>
    <n v="803.27391189979971"/>
    <n v="3.1444214824230787"/>
    <x v="5"/>
    <x v="15"/>
    <x v="5"/>
    <x v="2"/>
    <x v="0"/>
  </r>
  <r>
    <s v="CID308"/>
    <d v="2016-09-24T00:00:00"/>
    <x v="4"/>
    <x v="6"/>
    <s v="Gurgaon"/>
    <x v="1"/>
    <x v="3"/>
    <n v="82.63"/>
    <n v="177.11"/>
    <n v="2143.4699999999998"/>
    <x v="2"/>
    <s v="Compost"/>
    <n v="76.94"/>
    <n v="614.47"/>
    <s v="Sandy"/>
    <n v="21.85"/>
    <x v="123"/>
    <n v="867.43287266546599"/>
    <n v="11.274147032303951"/>
    <x v="6"/>
    <x v="17"/>
    <x v="3"/>
    <x v="1"/>
    <x v="1"/>
  </r>
  <r>
    <s v="CID309"/>
    <d v="2018-07-16T00:00:00"/>
    <x v="3"/>
    <x v="0"/>
    <s v="Varanasi"/>
    <x v="1"/>
    <x v="3"/>
    <n v="1.43"/>
    <n v="7.75"/>
    <n v="5417.28"/>
    <x v="1"/>
    <s v="Vermicompost"/>
    <n v="259.7"/>
    <n v="682.93"/>
    <s v="Sandy"/>
    <n v="31.72"/>
    <x v="13"/>
    <n v="2192.2988203395316"/>
    <n v="8.4416589154390902"/>
    <x v="0"/>
    <x v="6"/>
    <x v="3"/>
    <x v="3"/>
    <x v="1"/>
  </r>
  <r>
    <s v="CID310"/>
    <d v="2012-08-03T00:00:00"/>
    <x v="2"/>
    <x v="6"/>
    <s v="Hisar"/>
    <x v="1"/>
    <x v="3"/>
    <n v="66.09"/>
    <n v="306.45999999999998"/>
    <n v="4636.96"/>
    <x v="2"/>
    <s v="NPK"/>
    <n v="176.03"/>
    <n v="584.66"/>
    <s v="Sandy"/>
    <n v="33.74"/>
    <x v="109"/>
    <n v="1876.5140324963072"/>
    <n v="10.660194469671687"/>
    <x v="6"/>
    <x v="20"/>
    <x v="3"/>
    <x v="4"/>
    <x v="1"/>
  </r>
  <r>
    <s v="CID311"/>
    <d v="2015-03-22T00:00:00"/>
    <x v="9"/>
    <x v="3"/>
    <s v="Mysore"/>
    <x v="2"/>
    <x v="4"/>
    <n v="14.68"/>
    <n v="67.75"/>
    <n v="4615.1499999999996"/>
    <x v="2"/>
    <s v="DAP"/>
    <n v="260.77"/>
    <n v="747.81"/>
    <s v="Alluvial"/>
    <n v="30.68"/>
    <x v="48"/>
    <n v="1867.6878250136581"/>
    <n v="7.1622035702483346"/>
    <x v="3"/>
    <x v="5"/>
    <x v="4"/>
    <x v="2"/>
    <x v="0"/>
  </r>
  <r>
    <s v="CID312"/>
    <d v="2019-05-15T00:00:00"/>
    <x v="12"/>
    <x v="6"/>
    <s v="Gurgaon"/>
    <x v="0"/>
    <x v="0"/>
    <n v="68.97"/>
    <n v="450.18"/>
    <n v="6527.15"/>
    <x v="3"/>
    <s v="NPK"/>
    <n v="295.33"/>
    <n v="850.09"/>
    <s v="Red"/>
    <n v="27.56"/>
    <x v="51"/>
    <n v="2641.4479674632239"/>
    <n v="8.9440556918133076"/>
    <x v="6"/>
    <x v="17"/>
    <x v="0"/>
    <x v="4"/>
    <x v="0"/>
  </r>
  <r>
    <s v="CID313"/>
    <d v="2023-02-17T00:00:00"/>
    <x v="7"/>
    <x v="0"/>
    <s v="Lucknow"/>
    <x v="2"/>
    <x v="1"/>
    <n v="48.56"/>
    <n v="214.82"/>
    <n v="4423.83"/>
    <x v="1"/>
    <s v="Urea"/>
    <n v="218.56"/>
    <n v="1093.8699999999999"/>
    <s v="Sandy"/>
    <n v="24.29"/>
    <x v="124"/>
    <n v="1790.263248416665"/>
    <n v="8.1911751849225158"/>
    <x v="0"/>
    <x v="0"/>
    <x v="1"/>
    <x v="0"/>
    <x v="0"/>
  </r>
  <r>
    <s v="CID314"/>
    <d v="2010-12-08T00:00:00"/>
    <x v="0"/>
    <x v="5"/>
    <s v="Patna"/>
    <x v="2"/>
    <x v="4"/>
    <n v="6.25"/>
    <n v="8.3699999999999992"/>
    <n v="1339.63"/>
    <x v="2"/>
    <s v="Urea"/>
    <n v="237.55"/>
    <n v="360.94"/>
    <s v="Alluvial"/>
    <n v="30.25"/>
    <x v="50"/>
    <n v="542.12986382307122"/>
    <n v="2.2821716010232422"/>
    <x v="5"/>
    <x v="7"/>
    <x v="4"/>
    <x v="0"/>
    <x v="0"/>
  </r>
  <r>
    <s v="CID315"/>
    <d v="2013-05-21T00:00:00"/>
    <x v="1"/>
    <x v="0"/>
    <s v="Kanpur"/>
    <x v="0"/>
    <x v="5"/>
    <n v="36.51"/>
    <n v="135.66"/>
    <n v="3715.57"/>
    <x v="3"/>
    <s v="NPK"/>
    <n v="235.6"/>
    <n v="761.27"/>
    <s v="Red"/>
    <n v="27.66"/>
    <x v="67"/>
    <n v="1503.640152971409"/>
    <n v="6.3821738241570838"/>
    <x v="0"/>
    <x v="11"/>
    <x v="5"/>
    <x v="4"/>
    <x v="0"/>
  </r>
  <r>
    <s v="CID316"/>
    <d v="2011-02-22T00:00:00"/>
    <x v="0"/>
    <x v="0"/>
    <s v="Varanasi"/>
    <x v="2"/>
    <x v="3"/>
    <n v="42.24"/>
    <n v="241.98"/>
    <n v="5728.67"/>
    <x v="2"/>
    <s v="DAP"/>
    <n v="291.45999999999998"/>
    <n v="253.8"/>
    <s v="Alluvial"/>
    <n v="23.05"/>
    <x v="100"/>
    <n v="2318.3140770117966"/>
    <n v="7.9541414842921734"/>
    <x v="0"/>
    <x v="6"/>
    <x v="3"/>
    <x v="2"/>
    <x v="1"/>
  </r>
  <r>
    <s v="CID317"/>
    <d v="2021-05-14T00:00:00"/>
    <x v="8"/>
    <x v="0"/>
    <s v="Varanasi"/>
    <x v="0"/>
    <x v="0"/>
    <n v="75.760000000000005"/>
    <n v="324.23"/>
    <n v="4279.6899999999996"/>
    <x v="3"/>
    <s v="Urea"/>
    <n v="244.04"/>
    <n v="1164.29"/>
    <s v="Alluvial"/>
    <n v="26.73"/>
    <x v="91"/>
    <n v="1731.9317698953885"/>
    <n v="7.0969175950474863"/>
    <x v="0"/>
    <x v="6"/>
    <x v="0"/>
    <x v="0"/>
    <x v="0"/>
  </r>
  <r>
    <s v="CID318"/>
    <d v="2021-04-30T00:00:00"/>
    <x v="8"/>
    <x v="6"/>
    <s v="Gurgaon"/>
    <x v="0"/>
    <x v="5"/>
    <n v="38.340000000000003"/>
    <n v="136.91"/>
    <n v="3571.05"/>
    <x v="2"/>
    <s v="DAP"/>
    <n v="82.52"/>
    <n v="783.99"/>
    <s v="Alluvial"/>
    <n v="20.079999999999998"/>
    <x v="16"/>
    <n v="1445.1548936686834"/>
    <n v="17.512783490895341"/>
    <x v="6"/>
    <x v="17"/>
    <x v="5"/>
    <x v="2"/>
    <x v="0"/>
  </r>
  <r>
    <s v="CID319"/>
    <d v="2015-05-16T00:00:00"/>
    <x v="10"/>
    <x v="1"/>
    <s v="Ludhiana"/>
    <x v="0"/>
    <x v="5"/>
    <n v="77.59"/>
    <n v="368.72"/>
    <n v="4752.2"/>
    <x v="2"/>
    <s v="NPK"/>
    <n v="172.64"/>
    <n v="772.68"/>
    <s v="Alluvial"/>
    <n v="21.09"/>
    <x v="84"/>
    <n v="1923.1500779021064"/>
    <n v="11.139655224178096"/>
    <x v="1"/>
    <x v="1"/>
    <x v="5"/>
    <x v="4"/>
    <x v="0"/>
  </r>
  <r>
    <s v="CID320"/>
    <d v="2012-04-22T00:00:00"/>
    <x v="2"/>
    <x v="5"/>
    <s v="Patna"/>
    <x v="0"/>
    <x v="5"/>
    <n v="78.84"/>
    <n v="154.22999999999999"/>
    <n v="1956.22"/>
    <x v="1"/>
    <s v="NPK"/>
    <n v="72.989999999999995"/>
    <n v="421.2"/>
    <s v="Red"/>
    <n v="29.95"/>
    <x v="101"/>
    <n v="791.6553691750471"/>
    <n v="10.846079862653065"/>
    <x v="5"/>
    <x v="7"/>
    <x v="5"/>
    <x v="4"/>
    <x v="0"/>
  </r>
  <r>
    <s v="CID321"/>
    <d v="2022-05-10T00:00:00"/>
    <x v="7"/>
    <x v="2"/>
    <s v="Nagpur"/>
    <x v="0"/>
    <x v="1"/>
    <n v="48.01"/>
    <n v="209.71"/>
    <n v="4368.01"/>
    <x v="0"/>
    <s v="Vermicompost"/>
    <n v="78.680000000000007"/>
    <n v="546.01"/>
    <s v="Red"/>
    <n v="33.57"/>
    <x v="11"/>
    <n v="1767.6736609943143"/>
    <n v="22.466619992301908"/>
    <x v="2"/>
    <x v="13"/>
    <x v="1"/>
    <x v="3"/>
    <x v="0"/>
  </r>
  <r>
    <s v="CID322"/>
    <d v="2021-02-04T00:00:00"/>
    <x v="11"/>
    <x v="6"/>
    <s v="Gurgaon"/>
    <x v="2"/>
    <x v="3"/>
    <n v="91.68"/>
    <n v="611.5"/>
    <n v="6669.93"/>
    <x v="1"/>
    <s v="Vermicompost"/>
    <n v="114.15"/>
    <n v="923.98"/>
    <s v="Black"/>
    <n v="33.67"/>
    <x v="42"/>
    <n v="2699.2290726614192"/>
    <n v="23.646334407896795"/>
    <x v="6"/>
    <x v="17"/>
    <x v="3"/>
    <x v="3"/>
    <x v="1"/>
  </r>
  <r>
    <s v="CID323"/>
    <d v="2018-03-18T00:00:00"/>
    <x v="6"/>
    <x v="4"/>
    <s v="Darjeeling"/>
    <x v="2"/>
    <x v="5"/>
    <n v="30.35"/>
    <n v="148.99"/>
    <n v="4909.17"/>
    <x v="2"/>
    <s v="Vermicompost"/>
    <n v="178.47"/>
    <n v="1148.21"/>
    <s v="Red"/>
    <n v="34.57"/>
    <x v="47"/>
    <n v="1986.6736812286276"/>
    <n v="11.131695417877669"/>
    <x v="4"/>
    <x v="9"/>
    <x v="5"/>
    <x v="3"/>
    <x v="0"/>
  </r>
  <r>
    <s v="CID324"/>
    <d v="2011-06-19T00:00:00"/>
    <x v="5"/>
    <x v="1"/>
    <s v="Patiala"/>
    <x v="1"/>
    <x v="2"/>
    <n v="63.32"/>
    <n v="144.31"/>
    <n v="2279.0500000000002"/>
    <x v="1"/>
    <s v="DAP"/>
    <n v="258.92"/>
    <n v="405.58"/>
    <s v="Laterite"/>
    <n v="29.7"/>
    <x v="85"/>
    <n v="922.30023674146628"/>
    <n v="3.5621050391683386"/>
    <x v="1"/>
    <x v="10"/>
    <x v="2"/>
    <x v="2"/>
    <x v="1"/>
  </r>
  <r>
    <s v="CID325"/>
    <d v="2022-02-13T00:00:00"/>
    <x v="8"/>
    <x v="1"/>
    <s v="Amritsar"/>
    <x v="2"/>
    <x v="5"/>
    <n v="9.66"/>
    <n v="12.81"/>
    <n v="1325.61"/>
    <x v="2"/>
    <s v="Compost"/>
    <n v="189.52"/>
    <n v="774.96"/>
    <s v="Red"/>
    <n v="33.659999999999997"/>
    <x v="55"/>
    <n v="536.45616236013029"/>
    <n v="2.8306044869149973"/>
    <x v="1"/>
    <x v="14"/>
    <x v="5"/>
    <x v="1"/>
    <x v="0"/>
  </r>
  <r>
    <s v="CID326"/>
    <d v="2016-11-19T00:00:00"/>
    <x v="4"/>
    <x v="3"/>
    <s v="Hubli"/>
    <x v="2"/>
    <x v="0"/>
    <n v="2.67"/>
    <n v="13.46"/>
    <n v="5039.79"/>
    <x v="0"/>
    <s v="NPK"/>
    <n v="210.36"/>
    <n v="818.35"/>
    <s v="Sandy"/>
    <n v="20.68"/>
    <x v="110"/>
    <n v="2039.5338014204488"/>
    <n v="9.6954449582641598"/>
    <x v="3"/>
    <x v="12"/>
    <x v="0"/>
    <x v="4"/>
    <x v="0"/>
  </r>
  <r>
    <s v="CID327"/>
    <d v="2014-05-05T00:00:00"/>
    <x v="9"/>
    <x v="5"/>
    <s v="Patna"/>
    <x v="0"/>
    <x v="0"/>
    <n v="61.05"/>
    <n v="164.17"/>
    <n v="2689.1"/>
    <x v="1"/>
    <s v="DAP"/>
    <n v="145.35"/>
    <n v="1022.12"/>
    <s v="Black"/>
    <n v="27.11"/>
    <x v="58"/>
    <n v="1088.2418405131421"/>
    <n v="7.4870439663786863"/>
    <x v="5"/>
    <x v="7"/>
    <x v="0"/>
    <x v="2"/>
    <x v="0"/>
  </r>
  <r>
    <s v="CID328"/>
    <d v="2016-04-03T00:00:00"/>
    <x v="4"/>
    <x v="6"/>
    <s v="Hisar"/>
    <x v="0"/>
    <x v="0"/>
    <n v="96.05"/>
    <n v="179.08"/>
    <n v="1864.45"/>
    <x v="2"/>
    <s v="Urea"/>
    <n v="289.35000000000002"/>
    <n v="211.15"/>
    <s v="Sandy"/>
    <n v="22.12"/>
    <x v="99"/>
    <n v="754.51731045506972"/>
    <n v="2.6076285137552087"/>
    <x v="6"/>
    <x v="20"/>
    <x v="0"/>
    <x v="0"/>
    <x v="0"/>
  </r>
  <r>
    <s v="CID329"/>
    <d v="2016-04-12T00:00:00"/>
    <x v="4"/>
    <x v="5"/>
    <s v="Bhagalpur"/>
    <x v="0"/>
    <x v="1"/>
    <n v="94.75"/>
    <n v="267.97000000000003"/>
    <n v="2828.15"/>
    <x v="2"/>
    <s v="DAP"/>
    <n v="102.93"/>
    <n v="1105.6300000000001"/>
    <s v="Sandy"/>
    <n v="22.14"/>
    <x v="99"/>
    <n v="1144.5134659355335"/>
    <n v="11.119338054362514"/>
    <x v="5"/>
    <x v="15"/>
    <x v="1"/>
    <x v="2"/>
    <x v="0"/>
  </r>
  <r>
    <s v="CID330"/>
    <d v="2013-10-19T00:00:00"/>
    <x v="1"/>
    <x v="5"/>
    <s v="Gaya"/>
    <x v="1"/>
    <x v="4"/>
    <n v="67.430000000000007"/>
    <n v="296.95"/>
    <n v="4403.76"/>
    <x v="0"/>
    <s v="Urea"/>
    <n v="262.85000000000002"/>
    <n v="1132.3699999999999"/>
    <s v="Sandy"/>
    <n v="26.92"/>
    <x v="32"/>
    <n v="1782.1411950385466"/>
    <n v="6.7800692221363761"/>
    <x v="5"/>
    <x v="8"/>
    <x v="4"/>
    <x v="0"/>
    <x v="0"/>
  </r>
  <r>
    <s v="CID331"/>
    <d v="2011-11-18T00:00:00"/>
    <x v="5"/>
    <x v="2"/>
    <s v="Mumbai"/>
    <x v="2"/>
    <x v="5"/>
    <n v="20.54"/>
    <n v="92.09"/>
    <n v="4483.57"/>
    <x v="2"/>
    <s v="DAP"/>
    <n v="139.28"/>
    <n v="871.3"/>
    <s v="Red"/>
    <n v="21.5"/>
    <x v="73"/>
    <n v="1814.4392060055441"/>
    <n v="13.027277469884721"/>
    <x v="2"/>
    <x v="19"/>
    <x v="5"/>
    <x v="2"/>
    <x v="0"/>
  </r>
  <r>
    <s v="CID332"/>
    <d v="2017-12-14T00:00:00"/>
    <x v="6"/>
    <x v="2"/>
    <s v="Pune"/>
    <x v="2"/>
    <x v="1"/>
    <n v="66.28"/>
    <n v="342.05"/>
    <n v="5160.75"/>
    <x v="3"/>
    <s v="Urea"/>
    <n v="191.39"/>
    <n v="564.49"/>
    <s v="Alluvial"/>
    <n v="34.380000000000003"/>
    <x v="97"/>
    <n v="2088.4846522733251"/>
    <n v="10.91219317766511"/>
    <x v="2"/>
    <x v="2"/>
    <x v="1"/>
    <x v="0"/>
    <x v="0"/>
  </r>
  <r>
    <s v="CID333"/>
    <d v="2022-08-31T00:00:00"/>
    <x v="7"/>
    <x v="2"/>
    <s v="Nagpur"/>
    <x v="1"/>
    <x v="2"/>
    <n v="74.239999999999995"/>
    <n v="268.51"/>
    <n v="3616.74"/>
    <x v="2"/>
    <s v="NPK"/>
    <n v="83.58"/>
    <n v="932.97"/>
    <s v="Laterite"/>
    <n v="26.94"/>
    <x v="125"/>
    <n v="1463.6450092066125"/>
    <n v="17.511904872058057"/>
    <x v="2"/>
    <x v="13"/>
    <x v="2"/>
    <x v="4"/>
    <x v="1"/>
  </r>
  <r>
    <s v="CID334"/>
    <d v="2011-06-05T00:00:00"/>
    <x v="5"/>
    <x v="3"/>
    <s v="Hubli"/>
    <x v="1"/>
    <x v="2"/>
    <n v="61.06"/>
    <n v="369.46"/>
    <n v="6050.76"/>
    <x v="3"/>
    <s v="Vermicompost"/>
    <n v="272.82"/>
    <n v="396.43"/>
    <s v="Black"/>
    <n v="30.91"/>
    <x v="85"/>
    <n v="2448.6594767406568"/>
    <n v="8.9753664567871017"/>
    <x v="3"/>
    <x v="12"/>
    <x v="2"/>
    <x v="3"/>
    <x v="1"/>
  </r>
  <r>
    <s v="CID335"/>
    <d v="2019-05-20T00:00:00"/>
    <x v="12"/>
    <x v="0"/>
    <s v="Lucknow"/>
    <x v="0"/>
    <x v="3"/>
    <n v="77.150000000000006"/>
    <n v="175.64"/>
    <n v="2276.56"/>
    <x v="0"/>
    <s v="DAP"/>
    <n v="187.9"/>
    <n v="743.47"/>
    <s v="Sandy"/>
    <n v="27.08"/>
    <x v="51"/>
    <n v="921.29256793670709"/>
    <n v="4.9031004147775787"/>
    <x v="0"/>
    <x v="0"/>
    <x v="3"/>
    <x v="2"/>
    <x v="1"/>
  </r>
  <r>
    <s v="CID336"/>
    <d v="2013-05-22T00:00:00"/>
    <x v="1"/>
    <x v="2"/>
    <s v="Pune"/>
    <x v="0"/>
    <x v="2"/>
    <n v="85.86"/>
    <n v="154.83000000000001"/>
    <n v="1803.29"/>
    <x v="0"/>
    <s v="Vermicompost"/>
    <n v="149.19999999999999"/>
    <n v="702.17"/>
    <s v="Red"/>
    <n v="32.72"/>
    <x v="67"/>
    <n v="729.76669836709095"/>
    <n v="4.8911977102351942"/>
    <x v="2"/>
    <x v="2"/>
    <x v="2"/>
    <x v="3"/>
    <x v="1"/>
  </r>
  <r>
    <s v="CID337"/>
    <d v="2022-05-19T00:00:00"/>
    <x v="7"/>
    <x v="0"/>
    <s v="Lucknow"/>
    <x v="0"/>
    <x v="4"/>
    <n v="45.18"/>
    <n v="93.74"/>
    <n v="2074.87"/>
    <x v="3"/>
    <s v="Compost"/>
    <n v="233.98"/>
    <n v="683.5"/>
    <s v="Alluvial"/>
    <n v="20.61"/>
    <x v="11"/>
    <n v="839.67139475121905"/>
    <n v="3.5886460156903115"/>
    <x v="0"/>
    <x v="0"/>
    <x v="4"/>
    <x v="1"/>
    <x v="0"/>
  </r>
  <r>
    <s v="CID338"/>
    <d v="2015-01-22T00:00:00"/>
    <x v="9"/>
    <x v="6"/>
    <s v="Gurgaon"/>
    <x v="2"/>
    <x v="4"/>
    <n v="5.24"/>
    <n v="11.74"/>
    <n v="2240.64"/>
    <x v="2"/>
    <s v="Urea"/>
    <n v="147.02000000000001"/>
    <n v="1117.9000000000001"/>
    <s v="Black"/>
    <n v="20.6"/>
    <x v="96"/>
    <n v="906.75623722708963"/>
    <n v="6.1675706517962832"/>
    <x v="6"/>
    <x v="17"/>
    <x v="4"/>
    <x v="0"/>
    <x v="0"/>
  </r>
  <r>
    <s v="CID339"/>
    <d v="2020-11-20T00:00:00"/>
    <x v="11"/>
    <x v="0"/>
    <s v="Varanasi"/>
    <x v="2"/>
    <x v="2"/>
    <n v="27.07"/>
    <n v="115.48"/>
    <n v="4266.1000000000004"/>
    <x v="3"/>
    <s v="Vermicompost"/>
    <n v="144.16"/>
    <n v="578.52"/>
    <s v="Sandy"/>
    <n v="29.8"/>
    <x v="98"/>
    <n v="1726.4320835272456"/>
    <n v="11.975805240893768"/>
    <x v="0"/>
    <x v="6"/>
    <x v="2"/>
    <x v="3"/>
    <x v="1"/>
  </r>
  <r>
    <s v="CID340"/>
    <d v="2013-04-09T00:00:00"/>
    <x v="1"/>
    <x v="2"/>
    <s v="Pune"/>
    <x v="0"/>
    <x v="3"/>
    <n v="35.94"/>
    <n v="223.06"/>
    <n v="6206.32"/>
    <x v="1"/>
    <s v="Compost"/>
    <n v="248.16"/>
    <n v="1087.17"/>
    <s v="Black"/>
    <n v="27.53"/>
    <x v="1"/>
    <n v="2511.6124724307479"/>
    <n v="10.12094000818322"/>
    <x v="2"/>
    <x v="2"/>
    <x v="3"/>
    <x v="1"/>
    <x v="1"/>
  </r>
  <r>
    <s v="CID341"/>
    <d v="2011-04-27T00:00:00"/>
    <x v="5"/>
    <x v="6"/>
    <s v="Gurgaon"/>
    <x v="0"/>
    <x v="2"/>
    <n v="28.8"/>
    <n v="54.76"/>
    <n v="1901.44"/>
    <x v="3"/>
    <s v="NPK"/>
    <n v="140.56"/>
    <n v="917.3"/>
    <s v="Black"/>
    <n v="29.92"/>
    <x v="62"/>
    <n v="769.48665547034659"/>
    <n v="5.4744355113143612"/>
    <x v="6"/>
    <x v="17"/>
    <x v="2"/>
    <x v="4"/>
    <x v="1"/>
  </r>
  <r>
    <s v="CID342"/>
    <d v="2017-04-09T00:00:00"/>
    <x v="6"/>
    <x v="0"/>
    <s v="Lucknow"/>
    <x v="0"/>
    <x v="3"/>
    <n v="48.42"/>
    <n v="220.06"/>
    <n v="4544.75"/>
    <x v="1"/>
    <s v="Vermicompost"/>
    <n v="55.61"/>
    <n v="243.14"/>
    <s v="Sandy"/>
    <n v="28.89"/>
    <x v="17"/>
    <n v="1839.1979118188624"/>
    <n v="33.073150725028995"/>
    <x v="0"/>
    <x v="0"/>
    <x v="3"/>
    <x v="3"/>
    <x v="1"/>
  </r>
  <r>
    <s v="CID343"/>
    <d v="2012-08-12T00:00:00"/>
    <x v="2"/>
    <x v="1"/>
    <s v="Patiala"/>
    <x v="1"/>
    <x v="4"/>
    <n v="26.57"/>
    <n v="55.27"/>
    <n v="2080.23"/>
    <x v="1"/>
    <s v="Urea"/>
    <n v="199.84"/>
    <n v="763.6"/>
    <s v="Black"/>
    <n v="33.18"/>
    <x v="109"/>
    <n v="841.84051314218652"/>
    <n v="4.2125726238099803"/>
    <x v="1"/>
    <x v="10"/>
    <x v="4"/>
    <x v="0"/>
    <x v="0"/>
  </r>
  <r>
    <s v="CID344"/>
    <d v="2020-03-10T00:00:00"/>
    <x v="12"/>
    <x v="6"/>
    <s v="Faridabad"/>
    <x v="2"/>
    <x v="3"/>
    <n v="17.89"/>
    <n v="107.02"/>
    <n v="5982.18"/>
    <x v="3"/>
    <s v="NPK"/>
    <n v="248.65"/>
    <n v="1020.45"/>
    <s v="Red"/>
    <n v="29.35"/>
    <x v="86"/>
    <n v="2420.9060925517492"/>
    <n v="9.7361998493937225"/>
    <x v="6"/>
    <x v="18"/>
    <x v="3"/>
    <x v="4"/>
    <x v="1"/>
  </r>
  <r>
    <s v="CID345"/>
    <d v="2021-03-10T00:00:00"/>
    <x v="11"/>
    <x v="6"/>
    <s v="Hisar"/>
    <x v="2"/>
    <x v="3"/>
    <n v="60.06"/>
    <n v="84.87"/>
    <n v="1413.06"/>
    <x v="1"/>
    <s v="Compost"/>
    <n v="146.37"/>
    <n v="308.57"/>
    <s v="Red"/>
    <n v="27.84"/>
    <x v="34"/>
    <n v="571.84597640679067"/>
    <n v="3.9068523359075673"/>
    <x v="6"/>
    <x v="20"/>
    <x v="3"/>
    <x v="1"/>
    <x v="1"/>
  </r>
  <r>
    <s v="CID346"/>
    <d v="2019-07-04T00:00:00"/>
    <x v="12"/>
    <x v="4"/>
    <s v="Kolkata"/>
    <x v="1"/>
    <x v="4"/>
    <n v="48.11"/>
    <n v="225.56"/>
    <n v="4688.49"/>
    <x v="0"/>
    <s v="Vermicompost"/>
    <n v="269.44"/>
    <n v="731.43"/>
    <s v="Black"/>
    <n v="21.4"/>
    <x v="49"/>
    <n v="1897.3675158333501"/>
    <n v="7.0418925023506169"/>
    <x v="4"/>
    <x v="4"/>
    <x v="4"/>
    <x v="3"/>
    <x v="0"/>
  </r>
  <r>
    <s v="CID347"/>
    <d v="2022-04-25T00:00:00"/>
    <x v="7"/>
    <x v="5"/>
    <s v="Patna"/>
    <x v="0"/>
    <x v="2"/>
    <n v="43.72"/>
    <n v="154.07"/>
    <n v="3524.1"/>
    <x v="0"/>
    <s v="NPK"/>
    <n v="224.41"/>
    <n v="628.96"/>
    <s v="Laterite"/>
    <n v="31.84"/>
    <x v="72"/>
    <n v="1426.1548734343701"/>
    <n v="6.3551306690181812"/>
    <x v="5"/>
    <x v="7"/>
    <x v="2"/>
    <x v="4"/>
    <x v="1"/>
  </r>
  <r>
    <s v="CID348"/>
    <d v="2022-05-27T00:00:00"/>
    <x v="7"/>
    <x v="5"/>
    <s v="Bhagalpur"/>
    <x v="0"/>
    <x v="1"/>
    <n v="10.67"/>
    <n v="19.239999999999998"/>
    <n v="1803.3"/>
    <x v="1"/>
    <s v="Vermicompost"/>
    <n v="241.46"/>
    <n v="1110.0899999999999"/>
    <s v="Black"/>
    <n v="24.25"/>
    <x v="11"/>
    <n v="729.77074522976056"/>
    <n v="3.0223256242431895"/>
    <x v="5"/>
    <x v="15"/>
    <x v="1"/>
    <x v="3"/>
    <x v="0"/>
  </r>
  <r>
    <s v="CID349"/>
    <d v="2013-08-20T00:00:00"/>
    <x v="1"/>
    <x v="3"/>
    <s v="Mysore"/>
    <x v="1"/>
    <x v="2"/>
    <n v="74.62"/>
    <n v="77.8"/>
    <n v="1042.68"/>
    <x v="0"/>
    <s v="Compost"/>
    <n v="179.94"/>
    <n v="575.03"/>
    <s v="Red"/>
    <n v="30.32"/>
    <x v="117"/>
    <n v="421.95827684587528"/>
    <n v="2.3449943139150564"/>
    <x v="3"/>
    <x v="5"/>
    <x v="2"/>
    <x v="1"/>
    <x v="1"/>
  </r>
  <r>
    <s v="CID350"/>
    <d v="2013-02-14T00:00:00"/>
    <x v="2"/>
    <x v="2"/>
    <s v="Nagpur"/>
    <x v="2"/>
    <x v="2"/>
    <n v="58.95"/>
    <n v="151.37"/>
    <n v="2567.8200000000002"/>
    <x v="1"/>
    <s v="Vermicompost"/>
    <n v="191.17"/>
    <n v="811.88"/>
    <s v="Laterite"/>
    <n v="31.32"/>
    <x v="15"/>
    <n v="1039.161490054835"/>
    <n v="5.4357979288321134"/>
    <x v="2"/>
    <x v="13"/>
    <x v="2"/>
    <x v="3"/>
    <x v="1"/>
  </r>
  <r>
    <s v="CID351"/>
    <d v="2017-07-01T00:00:00"/>
    <x v="6"/>
    <x v="4"/>
    <s v="Darjeeling"/>
    <x v="1"/>
    <x v="0"/>
    <n v="56.35"/>
    <n v="219.91"/>
    <n v="3902.56"/>
    <x v="2"/>
    <s v="DAP"/>
    <n v="194.41"/>
    <n v="974.19"/>
    <s v="Laterite"/>
    <n v="31.04"/>
    <x v="25"/>
    <n v="1579.3124380324155"/>
    <n v="8.1236172935158457"/>
    <x v="4"/>
    <x v="9"/>
    <x v="0"/>
    <x v="2"/>
    <x v="0"/>
  </r>
  <r>
    <s v="CID352"/>
    <d v="2012-07-08T00:00:00"/>
    <x v="2"/>
    <x v="3"/>
    <s v="Hubli"/>
    <x v="1"/>
    <x v="4"/>
    <n v="51.33"/>
    <n v="293.43"/>
    <n v="5716.49"/>
    <x v="0"/>
    <s v="Compost"/>
    <n v="90.18"/>
    <n v="1164.57"/>
    <s v="Black"/>
    <n v="32.07"/>
    <x v="87"/>
    <n v="2313.3849982800834"/>
    <n v="25.652971815037517"/>
    <x v="3"/>
    <x v="12"/>
    <x v="4"/>
    <x v="1"/>
    <x v="0"/>
  </r>
  <r>
    <s v="CID353"/>
    <d v="2011-10-12T00:00:00"/>
    <x v="5"/>
    <x v="5"/>
    <s v="Gaya"/>
    <x v="1"/>
    <x v="0"/>
    <n v="22.96"/>
    <n v="33.99"/>
    <n v="1480.24"/>
    <x v="0"/>
    <s v="NPK"/>
    <n v="231.12"/>
    <n v="1130.68"/>
    <s v="Laterite"/>
    <n v="29.21"/>
    <x v="64"/>
    <n v="599.03279982193806"/>
    <n v="2.5918691581080737"/>
    <x v="5"/>
    <x v="8"/>
    <x v="0"/>
    <x v="4"/>
    <x v="0"/>
  </r>
  <r>
    <s v="CID354"/>
    <d v="2010-07-30T00:00:00"/>
    <x v="0"/>
    <x v="0"/>
    <s v="Varanasi"/>
    <x v="1"/>
    <x v="2"/>
    <n v="49.94"/>
    <n v="53.15"/>
    <n v="1064.26"/>
    <x v="2"/>
    <s v="Vermicompost"/>
    <n v="98.69"/>
    <n v="983.96"/>
    <s v="Sandy"/>
    <n v="27.74"/>
    <x v="126"/>
    <n v="430.69140648712084"/>
    <n v="4.3640835595006671"/>
    <x v="0"/>
    <x v="6"/>
    <x v="2"/>
    <x v="3"/>
    <x v="1"/>
  </r>
  <r>
    <s v="CID355"/>
    <d v="2011-02-12T00:00:00"/>
    <x v="0"/>
    <x v="6"/>
    <s v="Hisar"/>
    <x v="2"/>
    <x v="4"/>
    <n v="65.849999999999994"/>
    <n v="451.33"/>
    <n v="6853.88"/>
    <x v="0"/>
    <s v="Vermicompost"/>
    <n v="299.2"/>
    <n v="979.67"/>
    <s v="Alluvial"/>
    <n v="30.04"/>
    <x v="100"/>
    <n v="2773.6711114708323"/>
    <n v="9.2702911479640129"/>
    <x v="6"/>
    <x v="20"/>
    <x v="4"/>
    <x v="3"/>
    <x v="0"/>
  </r>
  <r>
    <s v="CID356"/>
    <d v="2010-05-23T00:00:00"/>
    <x v="0"/>
    <x v="6"/>
    <s v="Hisar"/>
    <x v="0"/>
    <x v="2"/>
    <n v="7.79"/>
    <n v="12"/>
    <n v="1541"/>
    <x v="2"/>
    <s v="NPK"/>
    <n v="231.53"/>
    <n v="759.11"/>
    <s v="Sandy"/>
    <n v="25.22"/>
    <x v="61"/>
    <n v="623.62153740312829"/>
    <n v="2.6934804880712147"/>
    <x v="6"/>
    <x v="20"/>
    <x v="2"/>
    <x v="4"/>
    <x v="1"/>
  </r>
  <r>
    <s v="CID357"/>
    <d v="2013-11-30T00:00:00"/>
    <x v="1"/>
    <x v="6"/>
    <s v="Hisar"/>
    <x v="2"/>
    <x v="3"/>
    <n v="57.92"/>
    <n v="148.66"/>
    <n v="2566.65"/>
    <x v="1"/>
    <s v="Vermicompost"/>
    <n v="176.56"/>
    <n v="758.63"/>
    <s v="Sandy"/>
    <n v="24.41"/>
    <x v="127"/>
    <n v="1038.6880071224784"/>
    <n v="5.8829180285595744"/>
    <x v="6"/>
    <x v="20"/>
    <x v="3"/>
    <x v="3"/>
    <x v="1"/>
  </r>
  <r>
    <s v="CID358"/>
    <d v="2022-05-28T00:00:00"/>
    <x v="7"/>
    <x v="2"/>
    <s v="Mumbai"/>
    <x v="0"/>
    <x v="0"/>
    <n v="69.72"/>
    <n v="473.84"/>
    <n v="6796.33"/>
    <x v="1"/>
    <s v="Vermicompost"/>
    <n v="242.49"/>
    <n v="957.47"/>
    <s v="Laterite"/>
    <n v="30.22"/>
    <x v="11"/>
    <n v="2750.3814168066206"/>
    <n v="11.342246759893689"/>
    <x v="2"/>
    <x v="19"/>
    <x v="0"/>
    <x v="3"/>
    <x v="0"/>
  </r>
  <r>
    <s v="CID359"/>
    <d v="2017-08-30T00:00:00"/>
    <x v="6"/>
    <x v="4"/>
    <s v="Kolkata"/>
    <x v="1"/>
    <x v="0"/>
    <n v="7.69"/>
    <n v="36.93"/>
    <n v="4801.97"/>
    <x v="3"/>
    <s v="Vermicompost"/>
    <n v="219.23"/>
    <n v="429.93"/>
    <s v="Alluvial"/>
    <n v="26.19"/>
    <x v="57"/>
    <n v="1943.2913134092796"/>
    <n v="8.8641669178911631"/>
    <x v="4"/>
    <x v="4"/>
    <x v="0"/>
    <x v="3"/>
    <x v="0"/>
  </r>
  <r>
    <s v="CID360"/>
    <d v="2021-12-26T00:00:00"/>
    <x v="8"/>
    <x v="5"/>
    <s v="Patna"/>
    <x v="2"/>
    <x v="4"/>
    <n v="29.44"/>
    <n v="99.91"/>
    <n v="3393.58"/>
    <x v="2"/>
    <s v="Vermicompost"/>
    <n v="69.010000000000005"/>
    <n v="1131.4000000000001"/>
    <s v="Laterite"/>
    <n v="24.71"/>
    <x v="71"/>
    <n v="1373.3352218692457"/>
    <n v="19.900524878557391"/>
    <x v="5"/>
    <x v="7"/>
    <x v="4"/>
    <x v="3"/>
    <x v="0"/>
  </r>
  <r>
    <s v="CID361"/>
    <d v="2021-05-24T00:00:00"/>
    <x v="8"/>
    <x v="2"/>
    <s v="Nagpur"/>
    <x v="0"/>
    <x v="4"/>
    <n v="50.4"/>
    <n v="110.78"/>
    <n v="2198"/>
    <x v="3"/>
    <s v="Vermicompost"/>
    <n v="268.19"/>
    <n v="406.78"/>
    <s v="Red"/>
    <n v="32.520000000000003"/>
    <x v="91"/>
    <n v="889.50041480342361"/>
    <n v="3.3166800208934846"/>
    <x v="2"/>
    <x v="13"/>
    <x v="4"/>
    <x v="3"/>
    <x v="0"/>
  </r>
  <r>
    <s v="CID362"/>
    <d v="2022-10-02T00:00:00"/>
    <x v="7"/>
    <x v="2"/>
    <s v="Nagpur"/>
    <x v="1"/>
    <x v="5"/>
    <n v="92.1"/>
    <n v="465.55"/>
    <n v="5054.87"/>
    <x v="1"/>
    <s v="NPK"/>
    <n v="203.46"/>
    <n v="964.24"/>
    <s v="Sandy"/>
    <n v="34.369999999999997"/>
    <x v="106"/>
    <n v="2045.6364703263794"/>
    <n v="10.054243931614957"/>
    <x v="2"/>
    <x v="13"/>
    <x v="5"/>
    <x v="4"/>
    <x v="0"/>
  </r>
  <r>
    <s v="CID363"/>
    <d v="2017-05-22T00:00:00"/>
    <x v="6"/>
    <x v="5"/>
    <s v="Gaya"/>
    <x v="0"/>
    <x v="0"/>
    <n v="49.59"/>
    <n v="342.49"/>
    <n v="6906.37"/>
    <x v="2"/>
    <s v="Compost"/>
    <n v="149.47"/>
    <n v="950.17"/>
    <s v="Red"/>
    <n v="20.81"/>
    <x v="121"/>
    <n v="2794.9130936241677"/>
    <n v="18.69882313256284"/>
    <x v="5"/>
    <x v="8"/>
    <x v="0"/>
    <x v="1"/>
    <x v="0"/>
  </r>
  <r>
    <s v="CID364"/>
    <d v="2010-05-15T00:00:00"/>
    <x v="0"/>
    <x v="3"/>
    <s v="Hubli"/>
    <x v="0"/>
    <x v="0"/>
    <n v="39.979999999999997"/>
    <n v="204.62"/>
    <n v="5118.03"/>
    <x v="3"/>
    <s v="Urea"/>
    <n v="164.3"/>
    <n v="320.37"/>
    <s v="Sandy"/>
    <n v="26.9"/>
    <x v="61"/>
    <n v="2071.1964549483014"/>
    <n v="12.606186579113215"/>
    <x v="3"/>
    <x v="12"/>
    <x v="0"/>
    <x v="0"/>
    <x v="0"/>
  </r>
  <r>
    <s v="CID365"/>
    <d v="2014-01-27T00:00:00"/>
    <x v="1"/>
    <x v="1"/>
    <s v="Patiala"/>
    <x v="2"/>
    <x v="1"/>
    <n v="10.97"/>
    <n v="34.770000000000003"/>
    <n v="3169.61"/>
    <x v="2"/>
    <s v="NPK"/>
    <n v="96.79"/>
    <n v="462.85"/>
    <s v="Alluvial"/>
    <n v="27.07"/>
    <x v="44"/>
    <n v="1282.6976386556323"/>
    <n v="13.252377711082056"/>
    <x v="1"/>
    <x v="10"/>
    <x v="1"/>
    <x v="4"/>
    <x v="0"/>
  </r>
  <r>
    <s v="CID366"/>
    <d v="2016-07-29T00:00:00"/>
    <x v="4"/>
    <x v="6"/>
    <s v="Faridabad"/>
    <x v="1"/>
    <x v="3"/>
    <n v="70.37"/>
    <n v="227.57"/>
    <n v="3233.86"/>
    <x v="1"/>
    <s v="Urea"/>
    <n v="119.91"/>
    <n v="379.89"/>
    <s v="Red"/>
    <n v="34.69"/>
    <x v="128"/>
    <n v="1308.6987313085531"/>
    <n v="10.914008267104938"/>
    <x v="6"/>
    <x v="18"/>
    <x v="3"/>
    <x v="0"/>
    <x v="1"/>
  </r>
  <r>
    <s v="CID367"/>
    <d v="2022-07-16T00:00:00"/>
    <x v="7"/>
    <x v="0"/>
    <s v="Kanpur"/>
    <x v="1"/>
    <x v="1"/>
    <n v="43.79"/>
    <n v="143.86000000000001"/>
    <n v="3285.3"/>
    <x v="3"/>
    <s v="Compost"/>
    <n v="250.01"/>
    <n v="938.54"/>
    <s v="Laterite"/>
    <n v="32.090000000000003"/>
    <x v="70"/>
    <n v="1329.5157928815686"/>
    <n v="5.3178504575079746"/>
    <x v="0"/>
    <x v="11"/>
    <x v="1"/>
    <x v="1"/>
    <x v="0"/>
  </r>
  <r>
    <s v="CID368"/>
    <d v="2020-05-15T00:00:00"/>
    <x v="11"/>
    <x v="3"/>
    <s v="Bangalore"/>
    <x v="0"/>
    <x v="1"/>
    <n v="72.34"/>
    <n v="413.21"/>
    <n v="5712"/>
    <x v="2"/>
    <s v="DAP"/>
    <n v="112.74"/>
    <n v="1058.5"/>
    <s v="Black"/>
    <n v="25.98"/>
    <x v="28"/>
    <n v="2311.567956941381"/>
    <n v="20.503529864656564"/>
    <x v="3"/>
    <x v="3"/>
    <x v="1"/>
    <x v="2"/>
    <x v="0"/>
  </r>
  <r>
    <s v="CID369"/>
    <d v="2015-02-14T00:00:00"/>
    <x v="9"/>
    <x v="1"/>
    <s v="Ludhiana"/>
    <x v="2"/>
    <x v="2"/>
    <n v="10.53"/>
    <n v="57.57"/>
    <n v="5467.56"/>
    <x v="2"/>
    <s v="Urea"/>
    <n v="140.24"/>
    <n v="760.35"/>
    <s v="Alluvial"/>
    <n v="25.16"/>
    <x v="129"/>
    <n v="2212.6464458428604"/>
    <n v="15.777570207093984"/>
    <x v="1"/>
    <x v="1"/>
    <x v="2"/>
    <x v="0"/>
    <x v="1"/>
  </r>
  <r>
    <s v="CID370"/>
    <d v="2019-10-03T00:00:00"/>
    <x v="12"/>
    <x v="2"/>
    <s v="Mumbai"/>
    <x v="1"/>
    <x v="1"/>
    <n v="58.01"/>
    <n v="283.95"/>
    <n v="4894.79"/>
    <x v="3"/>
    <s v="Compost"/>
    <n v="294.83999999999997"/>
    <n v="484.61"/>
    <s v="Alluvial"/>
    <n v="30.1"/>
    <x v="79"/>
    <n v="1980.8542927095768"/>
    <n v="6.7184041945108435"/>
    <x v="2"/>
    <x v="19"/>
    <x v="1"/>
    <x v="1"/>
    <x v="0"/>
  </r>
  <r>
    <s v="CID371"/>
    <d v="2020-03-26T00:00:00"/>
    <x v="12"/>
    <x v="1"/>
    <s v="Amritsar"/>
    <x v="2"/>
    <x v="3"/>
    <n v="63.54"/>
    <n v="118.76"/>
    <n v="1869.09"/>
    <x v="3"/>
    <s v="Compost"/>
    <n v="210.15"/>
    <n v="1128.57"/>
    <s v="Laterite"/>
    <n v="29.47"/>
    <x v="86"/>
    <n v="756.39505473381757"/>
    <n v="3.5993102771059604"/>
    <x v="1"/>
    <x v="14"/>
    <x v="3"/>
    <x v="1"/>
    <x v="1"/>
  </r>
  <r>
    <s v="CID372"/>
    <d v="2011-09-22T00:00:00"/>
    <x v="5"/>
    <x v="4"/>
    <s v="Kolkata"/>
    <x v="1"/>
    <x v="0"/>
    <n v="23.59"/>
    <n v="68.44"/>
    <n v="2901.27"/>
    <x v="2"/>
    <s v="NPK"/>
    <n v="227.61"/>
    <n v="805.38"/>
    <s v="Laterite"/>
    <n v="24.07"/>
    <x v="114"/>
    <n v="1174.1041257764919"/>
    <n v="5.1584030832410344"/>
    <x v="4"/>
    <x v="4"/>
    <x v="0"/>
    <x v="4"/>
    <x v="0"/>
  </r>
  <r>
    <s v="CID373"/>
    <d v="2019-02-10T00:00:00"/>
    <x v="3"/>
    <x v="0"/>
    <s v="Varanasi"/>
    <x v="2"/>
    <x v="3"/>
    <n v="17.559999999999999"/>
    <n v="107.56"/>
    <n v="6125.27"/>
    <x v="3"/>
    <s v="Urea"/>
    <n v="231.94"/>
    <n v="862.02"/>
    <s v="Black"/>
    <n v="23.16"/>
    <x v="130"/>
    <n v="2478.8126504927059"/>
    <n v="10.687301243824722"/>
    <x v="0"/>
    <x v="6"/>
    <x v="3"/>
    <x v="0"/>
    <x v="1"/>
  </r>
  <r>
    <s v="CID374"/>
    <d v="2017-05-27T00:00:00"/>
    <x v="6"/>
    <x v="1"/>
    <s v="Ludhiana"/>
    <x v="0"/>
    <x v="5"/>
    <n v="3.61"/>
    <n v="12.21"/>
    <n v="3382.08"/>
    <x v="0"/>
    <s v="Compost"/>
    <n v="75.98"/>
    <n v="818.1"/>
    <s v="Black"/>
    <n v="29.82"/>
    <x v="121"/>
    <n v="1368.6813297990732"/>
    <n v="18.013705314544264"/>
    <x v="1"/>
    <x v="1"/>
    <x v="5"/>
    <x v="1"/>
    <x v="0"/>
  </r>
  <r>
    <s v="CID375"/>
    <d v="2013-04-30T00:00:00"/>
    <x v="1"/>
    <x v="2"/>
    <s v="Nagpur"/>
    <x v="0"/>
    <x v="0"/>
    <n v="44.87"/>
    <n v="78.900000000000006"/>
    <n v="1758.47"/>
    <x v="3"/>
    <s v="Vermicompost"/>
    <n v="57.14"/>
    <n v="863.55"/>
    <s v="Alluvial"/>
    <n v="32.96"/>
    <x v="1"/>
    <n v="711.62865988142698"/>
    <n v="12.454124254137678"/>
    <x v="2"/>
    <x v="13"/>
    <x v="0"/>
    <x v="3"/>
    <x v="0"/>
  </r>
  <r>
    <s v="CID376"/>
    <d v="2017-10-15T00:00:00"/>
    <x v="6"/>
    <x v="2"/>
    <s v="Mumbai"/>
    <x v="1"/>
    <x v="2"/>
    <n v="54.39"/>
    <n v="247.2"/>
    <n v="4544.99"/>
    <x v="1"/>
    <s v="NPK"/>
    <n v="207.76"/>
    <n v="835.85"/>
    <s v="Sandy"/>
    <n v="26.52"/>
    <x v="131"/>
    <n v="1839.2950365229356"/>
    <n v="8.8529795751007683"/>
    <x v="2"/>
    <x v="19"/>
    <x v="2"/>
    <x v="4"/>
    <x v="1"/>
  </r>
  <r>
    <s v="CID377"/>
    <d v="2018-07-05T00:00:00"/>
    <x v="3"/>
    <x v="2"/>
    <s v="Pune"/>
    <x v="1"/>
    <x v="5"/>
    <n v="44.74"/>
    <n v="142.93"/>
    <n v="3194.7"/>
    <x v="2"/>
    <s v="NPK"/>
    <n v="88.93"/>
    <n v="210.56"/>
    <s v="Sandy"/>
    <n v="32.229999999999997"/>
    <x v="13"/>
    <n v="1292.8512170939478"/>
    <n v="14.537852435555466"/>
    <x v="2"/>
    <x v="2"/>
    <x v="5"/>
    <x v="4"/>
    <x v="0"/>
  </r>
  <r>
    <s v="CID378"/>
    <d v="2018-06-02T00:00:00"/>
    <x v="3"/>
    <x v="2"/>
    <s v="Pune"/>
    <x v="1"/>
    <x v="2"/>
    <n v="92.29"/>
    <n v="616.66"/>
    <n v="6681.75"/>
    <x v="1"/>
    <s v="Vermicompost"/>
    <n v="124.9"/>
    <n v="965.87"/>
    <s v="Alluvial"/>
    <n v="28.96"/>
    <x v="132"/>
    <n v="2704.0124643370227"/>
    <n v="21.649419250096258"/>
    <x v="2"/>
    <x v="2"/>
    <x v="2"/>
    <x v="3"/>
    <x v="1"/>
  </r>
  <r>
    <s v="CID379"/>
    <d v="2016-04-16T00:00:00"/>
    <x v="4"/>
    <x v="2"/>
    <s v="Nagpur"/>
    <x v="0"/>
    <x v="3"/>
    <n v="40.08"/>
    <n v="79.34"/>
    <n v="1979.62"/>
    <x v="1"/>
    <s v="Vermicompost"/>
    <n v="257.11"/>
    <n v="420.59"/>
    <s v="Black"/>
    <n v="26.33"/>
    <x v="99"/>
    <n v="801.12502782218087"/>
    <n v="3.1158843600878257"/>
    <x v="2"/>
    <x v="13"/>
    <x v="3"/>
    <x v="3"/>
    <x v="1"/>
  </r>
  <r>
    <s v="CID380"/>
    <d v="2022-04-08T00:00:00"/>
    <x v="7"/>
    <x v="4"/>
    <s v="Darjeeling"/>
    <x v="0"/>
    <x v="2"/>
    <n v="27.91"/>
    <n v="136.5"/>
    <n v="4890.74"/>
    <x v="2"/>
    <s v="Compost"/>
    <n v="153.22999999999999"/>
    <n v="1053.48"/>
    <s v="Red"/>
    <n v="22.05"/>
    <x v="72"/>
    <n v="1979.2153133283421"/>
    <n v="12.916630642356864"/>
    <x v="4"/>
    <x v="9"/>
    <x v="2"/>
    <x v="1"/>
    <x v="1"/>
  </r>
  <r>
    <s v="CID381"/>
    <d v="2014-04-19T00:00:00"/>
    <x v="9"/>
    <x v="5"/>
    <s v="Gaya"/>
    <x v="0"/>
    <x v="1"/>
    <n v="49.71"/>
    <n v="145.35"/>
    <n v="2923.86"/>
    <x v="3"/>
    <s v="NPK"/>
    <n v="62.41"/>
    <n v="734.97"/>
    <s v="Red"/>
    <n v="34.58"/>
    <x v="31"/>
    <n v="1183.2459885473786"/>
    <n v="18.959237118208279"/>
    <x v="5"/>
    <x v="8"/>
    <x v="1"/>
    <x v="4"/>
    <x v="0"/>
  </r>
  <r>
    <s v="CID382"/>
    <d v="2017-04-30T00:00:00"/>
    <x v="6"/>
    <x v="6"/>
    <s v="Hisar"/>
    <x v="0"/>
    <x v="5"/>
    <n v="24.05"/>
    <n v="45.79"/>
    <n v="1904.1"/>
    <x v="1"/>
    <s v="Urea"/>
    <n v="104.3"/>
    <n v="620.24"/>
    <s v="Laterite"/>
    <n v="34.97"/>
    <x v="17"/>
    <n v="770.56312094049088"/>
    <n v="7.3879493858148697"/>
    <x v="6"/>
    <x v="20"/>
    <x v="5"/>
    <x v="0"/>
    <x v="0"/>
  </r>
  <r>
    <s v="CID383"/>
    <d v="2022-06-04T00:00:00"/>
    <x v="7"/>
    <x v="2"/>
    <s v="Nagpur"/>
    <x v="1"/>
    <x v="5"/>
    <n v="27.38"/>
    <n v="91.85"/>
    <n v="3354.53"/>
    <x v="1"/>
    <s v="Urea"/>
    <n v="95.4"/>
    <n v="1095.7"/>
    <s v="Alluvial"/>
    <n v="32.26"/>
    <x v="24"/>
    <n v="1357.5322231440077"/>
    <n v="14.229897517232784"/>
    <x v="2"/>
    <x v="13"/>
    <x v="5"/>
    <x v="0"/>
    <x v="0"/>
  </r>
  <r>
    <s v="CID384"/>
    <d v="2013-12-24T00:00:00"/>
    <x v="1"/>
    <x v="4"/>
    <s v="Darjeeling"/>
    <x v="2"/>
    <x v="3"/>
    <n v="25.47"/>
    <n v="177.45"/>
    <n v="6967.21"/>
    <x v="3"/>
    <s v="Compost"/>
    <n v="165.21"/>
    <n v="971"/>
    <s v="Sandy"/>
    <n v="29.99"/>
    <x v="112"/>
    <n v="2819.5342061067158"/>
    <n v="17.066365269092159"/>
    <x v="4"/>
    <x v="9"/>
    <x v="3"/>
    <x v="1"/>
    <x v="1"/>
  </r>
  <r>
    <s v="CID385"/>
    <d v="2014-11-14T00:00:00"/>
    <x v="9"/>
    <x v="3"/>
    <s v="Hubli"/>
    <x v="2"/>
    <x v="4"/>
    <n v="63.29"/>
    <n v="79.31"/>
    <n v="1253.1199999999999"/>
    <x v="0"/>
    <s v="DAP"/>
    <n v="113.33"/>
    <n v="838.52"/>
    <s v="Red"/>
    <n v="25.41"/>
    <x v="39"/>
    <n v="507.12045486736406"/>
    <n v="4.4747238583549285"/>
    <x v="3"/>
    <x v="12"/>
    <x v="4"/>
    <x v="2"/>
    <x v="0"/>
  </r>
  <r>
    <s v="CID386"/>
    <d v="2021-03-02T00:00:00"/>
    <x v="11"/>
    <x v="1"/>
    <s v="Ludhiana"/>
    <x v="2"/>
    <x v="0"/>
    <n v="2.4900000000000002"/>
    <n v="14.36"/>
    <n v="5766.34"/>
    <x v="0"/>
    <s v="Vermicompost"/>
    <n v="148.94999999999999"/>
    <n v="443.09"/>
    <s v="Black"/>
    <n v="28.72"/>
    <x v="34"/>
    <n v="2333.5586086886142"/>
    <n v="15.666724462494892"/>
    <x v="1"/>
    <x v="1"/>
    <x v="0"/>
    <x v="3"/>
    <x v="0"/>
  </r>
  <r>
    <s v="CID387"/>
    <d v="2022-07-10T00:00:00"/>
    <x v="7"/>
    <x v="6"/>
    <s v="Faridabad"/>
    <x v="1"/>
    <x v="4"/>
    <n v="16.61"/>
    <n v="25.72"/>
    <n v="1548.41"/>
    <x v="2"/>
    <s v="Vermicompost"/>
    <n v="282.70999999999998"/>
    <n v="1196.97"/>
    <s v="Black"/>
    <n v="20.9"/>
    <x v="70"/>
    <n v="626.62026264138728"/>
    <n v="2.2164771767584708"/>
    <x v="6"/>
    <x v="18"/>
    <x v="4"/>
    <x v="3"/>
    <x v="0"/>
  </r>
  <r>
    <s v="CID388"/>
    <d v="2013-02-05T00:00:00"/>
    <x v="2"/>
    <x v="4"/>
    <s v="Kolkata"/>
    <x v="2"/>
    <x v="4"/>
    <n v="32.36"/>
    <n v="140.77000000000001"/>
    <n v="4350.1000000000004"/>
    <x v="2"/>
    <s v="NPK"/>
    <n v="251.38"/>
    <n v="638.72"/>
    <s v="Red"/>
    <n v="20.32"/>
    <x v="15"/>
    <n v="1760.4257299528542"/>
    <n v="7.003046105310105"/>
    <x v="4"/>
    <x v="4"/>
    <x v="4"/>
    <x v="4"/>
    <x v="0"/>
  </r>
  <r>
    <s v="CID389"/>
    <d v="2014-09-28T00:00:00"/>
    <x v="9"/>
    <x v="0"/>
    <s v="Lucknow"/>
    <x v="1"/>
    <x v="3"/>
    <n v="70.959999999999994"/>
    <n v="308.97000000000003"/>
    <n v="4354.1499999999996"/>
    <x v="1"/>
    <s v="NPK"/>
    <n v="97.44"/>
    <n v="386.63"/>
    <s v="Alluvial"/>
    <n v="24.86"/>
    <x v="133"/>
    <n v="1762.0647093340885"/>
    <n v="18.083586918453289"/>
    <x v="0"/>
    <x v="0"/>
    <x v="3"/>
    <x v="4"/>
    <x v="1"/>
  </r>
  <r>
    <s v="CID390"/>
    <d v="2018-07-18T00:00:00"/>
    <x v="3"/>
    <x v="4"/>
    <s v="Darjeeling"/>
    <x v="1"/>
    <x v="5"/>
    <n v="53.58"/>
    <n v="198.05"/>
    <n v="3696.31"/>
    <x v="2"/>
    <s v="Urea"/>
    <n v="185.4"/>
    <n v="654.08000000000004"/>
    <s v="Sandy"/>
    <n v="25.69"/>
    <x v="13"/>
    <n v="1495.8458954695373"/>
    <n v="8.068208713427925"/>
    <x v="4"/>
    <x v="9"/>
    <x v="5"/>
    <x v="0"/>
    <x v="0"/>
  </r>
  <r>
    <s v="CID391"/>
    <d v="2022-04-19T00:00:00"/>
    <x v="7"/>
    <x v="5"/>
    <s v="Gaya"/>
    <x v="0"/>
    <x v="4"/>
    <n v="32.75"/>
    <n v="45.2"/>
    <n v="1380.05"/>
    <x v="1"/>
    <s v="NPK"/>
    <n v="97.47"/>
    <n v="883.22"/>
    <s v="Sandy"/>
    <n v="22.31"/>
    <x v="72"/>
    <n v="558.48728273406039"/>
    <n v="5.7298377216996039"/>
    <x v="5"/>
    <x v="8"/>
    <x v="4"/>
    <x v="4"/>
    <x v="0"/>
  </r>
  <r>
    <s v="CID392"/>
    <d v="2015-06-26T00:00:00"/>
    <x v="10"/>
    <x v="3"/>
    <s v="Hubli"/>
    <x v="1"/>
    <x v="5"/>
    <n v="52.8"/>
    <n v="73.92"/>
    <n v="1400.08"/>
    <x v="3"/>
    <s v="Urea"/>
    <n v="94.66"/>
    <n v="231.27"/>
    <s v="Black"/>
    <n v="27.28"/>
    <x v="134"/>
    <n v="566.59314866150009"/>
    <n v="5.98556041265054"/>
    <x v="3"/>
    <x v="12"/>
    <x v="5"/>
    <x v="0"/>
    <x v="0"/>
  </r>
  <r>
    <s v="CID393"/>
    <d v="2016-05-29T00:00:00"/>
    <x v="4"/>
    <x v="5"/>
    <s v="Bhagalpur"/>
    <x v="0"/>
    <x v="3"/>
    <n v="53.06"/>
    <n v="276.33"/>
    <n v="5207.88"/>
    <x v="2"/>
    <s v="DAP"/>
    <n v="62.27"/>
    <n v="420.72"/>
    <s v="Black"/>
    <n v="20.2"/>
    <x v="30"/>
    <n v="2107.5575160356934"/>
    <n v="33.84547159202976"/>
    <x v="5"/>
    <x v="15"/>
    <x v="3"/>
    <x v="2"/>
    <x v="1"/>
  </r>
  <r>
    <s v="CID394"/>
    <d v="2012-01-08T00:00:00"/>
    <x v="5"/>
    <x v="0"/>
    <s v="Kanpur"/>
    <x v="2"/>
    <x v="2"/>
    <n v="7.01"/>
    <n v="30.48"/>
    <n v="4348.12"/>
    <x v="1"/>
    <s v="Vermicompost"/>
    <n v="255.51"/>
    <n v="994.25"/>
    <s v="Black"/>
    <n v="32.35"/>
    <x v="26"/>
    <n v="1759.6244511442503"/>
    <n v="6.8867146144739948"/>
    <x v="0"/>
    <x v="11"/>
    <x v="2"/>
    <x v="3"/>
    <x v="1"/>
  </r>
  <r>
    <s v="CID395"/>
    <d v="2012-03-14T00:00:00"/>
    <x v="5"/>
    <x v="1"/>
    <s v="Patiala"/>
    <x v="2"/>
    <x v="5"/>
    <n v="94.52"/>
    <n v="639.29"/>
    <n v="6763.52"/>
    <x v="0"/>
    <s v="DAP"/>
    <n v="75.31"/>
    <n v="431.02"/>
    <s v="Laterite"/>
    <n v="22.84"/>
    <x v="46"/>
    <n v="2737.1036603872849"/>
    <n v="36.344491573327375"/>
    <x v="1"/>
    <x v="10"/>
    <x v="5"/>
    <x v="2"/>
    <x v="0"/>
  </r>
  <r>
    <s v="CID396"/>
    <d v="2012-04-11T00:00:00"/>
    <x v="2"/>
    <x v="5"/>
    <s v="Bhagalpur"/>
    <x v="0"/>
    <x v="2"/>
    <n v="56.26"/>
    <n v="308.12"/>
    <n v="5476.65"/>
    <x v="2"/>
    <s v="DAP"/>
    <n v="218.62"/>
    <n v="902.55"/>
    <s v="Laterite"/>
    <n v="33.24"/>
    <x v="101"/>
    <n v="2216.3250440096313"/>
    <n v="10.137796377319694"/>
    <x v="5"/>
    <x v="15"/>
    <x v="2"/>
    <x v="2"/>
    <x v="1"/>
  </r>
  <r>
    <s v="CID397"/>
    <d v="2019-01-23T00:00:00"/>
    <x v="3"/>
    <x v="5"/>
    <s v="Gaya"/>
    <x v="2"/>
    <x v="2"/>
    <n v="16.66"/>
    <n v="116.46"/>
    <n v="6990.6"/>
    <x v="1"/>
    <s v="NPK"/>
    <n v="283.38"/>
    <n v="1102.48"/>
    <s v="Sandy"/>
    <n v="34.869999999999997"/>
    <x v="95"/>
    <n v="2828.9998178911801"/>
    <n v="9.9830609707501594"/>
    <x v="5"/>
    <x v="8"/>
    <x v="2"/>
    <x v="4"/>
    <x v="1"/>
  </r>
  <r>
    <s v="CID398"/>
    <d v="2016-04-29T00:00:00"/>
    <x v="4"/>
    <x v="3"/>
    <s v="Hubli"/>
    <x v="0"/>
    <x v="0"/>
    <n v="61.23"/>
    <n v="268.12"/>
    <n v="4378.87"/>
    <x v="3"/>
    <s v="Compost"/>
    <n v="143.77000000000001"/>
    <n v="750.24"/>
    <s v="Alluvial"/>
    <n v="25.4"/>
    <x v="99"/>
    <n v="1772.068553853625"/>
    <n v="12.325718535533316"/>
    <x v="3"/>
    <x v="12"/>
    <x v="0"/>
    <x v="1"/>
    <x v="0"/>
  </r>
  <r>
    <s v="CID399"/>
    <d v="2021-06-06T00:00:00"/>
    <x v="8"/>
    <x v="3"/>
    <s v="Bangalore"/>
    <x v="1"/>
    <x v="0"/>
    <n v="59.98"/>
    <n v="246.26"/>
    <n v="4105.66"/>
    <x v="2"/>
    <s v="NPK"/>
    <n v="51.64"/>
    <n v="1184.3900000000001"/>
    <s v="Red"/>
    <n v="32.840000000000003"/>
    <x v="12"/>
    <n v="1661.5042188543332"/>
    <n v="32.1747524952427"/>
    <x v="3"/>
    <x v="3"/>
    <x v="0"/>
    <x v="4"/>
    <x v="0"/>
  </r>
  <r>
    <s v="CID400"/>
    <d v="2018-04-17T00:00:00"/>
    <x v="3"/>
    <x v="5"/>
    <s v="Bhagalpur"/>
    <x v="0"/>
    <x v="1"/>
    <n v="16.32"/>
    <n v="20.02"/>
    <n v="1226.42"/>
    <x v="2"/>
    <s v="NPK"/>
    <n v="89.03"/>
    <n v="464.99"/>
    <s v="Sandy"/>
    <n v="23.75"/>
    <x v="59"/>
    <n v="496.31533153922425"/>
    <n v="5.574697647301182"/>
    <x v="5"/>
    <x v="15"/>
    <x v="1"/>
    <x v="4"/>
    <x v="0"/>
  </r>
  <r>
    <s v="CID401"/>
    <d v="2016-04-07T00:00:00"/>
    <x v="4"/>
    <x v="1"/>
    <s v="Patiala"/>
    <x v="0"/>
    <x v="4"/>
    <n v="73.69"/>
    <n v="393.61"/>
    <n v="5341.48"/>
    <x v="1"/>
    <s v="Vermicompost"/>
    <n v="93.23"/>
    <n v="1025.71"/>
    <s v="Sandy"/>
    <n v="32.29"/>
    <x v="99"/>
    <n v="2161.6236013030898"/>
    <n v="23.185923000140402"/>
    <x v="1"/>
    <x v="10"/>
    <x v="4"/>
    <x v="3"/>
    <x v="0"/>
  </r>
  <r>
    <s v="CID402"/>
    <d v="2010-04-08T00:00:00"/>
    <x v="0"/>
    <x v="0"/>
    <s v="Kanpur"/>
    <x v="0"/>
    <x v="1"/>
    <n v="38.770000000000003"/>
    <n v="220.24"/>
    <n v="5680.73"/>
    <x v="2"/>
    <s v="DAP"/>
    <n v="136.97999999999999"/>
    <n v="1017.14"/>
    <s v="Laterite"/>
    <n v="33.950000000000003"/>
    <x v="0"/>
    <n v="2298.9134173731813"/>
    <n v="16.782839957462269"/>
    <x v="0"/>
    <x v="11"/>
    <x v="1"/>
    <x v="2"/>
    <x v="0"/>
  </r>
  <r>
    <s v="CID403"/>
    <d v="2019-10-07T00:00:00"/>
    <x v="12"/>
    <x v="0"/>
    <s v="Varanasi"/>
    <x v="1"/>
    <x v="2"/>
    <n v="77.959999999999994"/>
    <n v="256.87"/>
    <n v="3294.92"/>
    <x v="2"/>
    <s v="DAP"/>
    <n v="181.1"/>
    <n v="519.32000000000005"/>
    <s v="Sandy"/>
    <n v="22.24"/>
    <x v="79"/>
    <n v="1333.4088747698347"/>
    <n v="7.362831997624709"/>
    <x v="0"/>
    <x v="6"/>
    <x v="2"/>
    <x v="2"/>
    <x v="1"/>
  </r>
  <r>
    <s v="CID404"/>
    <d v="2020-04-22T00:00:00"/>
    <x v="11"/>
    <x v="6"/>
    <s v="Gurgaon"/>
    <x v="0"/>
    <x v="3"/>
    <n v="97.13"/>
    <n v="535.87"/>
    <n v="5517.04"/>
    <x v="0"/>
    <s v="Urea"/>
    <n v="105.52"/>
    <n v="489.78"/>
    <s v="Laterite"/>
    <n v="22.22"/>
    <x v="56"/>
    <n v="2232.6703223326117"/>
    <n v="21.15874073476698"/>
    <x v="6"/>
    <x v="17"/>
    <x v="3"/>
    <x v="0"/>
    <x v="1"/>
  </r>
  <r>
    <s v="CID405"/>
    <d v="2021-07-21T00:00:00"/>
    <x v="8"/>
    <x v="3"/>
    <s v="Hubli"/>
    <x v="1"/>
    <x v="1"/>
    <n v="40.520000000000003"/>
    <n v="61.2"/>
    <n v="1510.47"/>
    <x v="1"/>
    <s v="Compost"/>
    <n v="243.46"/>
    <n v="330.38"/>
    <s v="Red"/>
    <n v="27.21"/>
    <x v="40"/>
    <n v="611.26646567248747"/>
    <n v="2.5107470043230404"/>
    <x v="3"/>
    <x v="12"/>
    <x v="1"/>
    <x v="1"/>
    <x v="0"/>
  </r>
  <r>
    <s v="CID406"/>
    <d v="2019-10-26T00:00:00"/>
    <x v="12"/>
    <x v="3"/>
    <s v="Hubli"/>
    <x v="1"/>
    <x v="1"/>
    <n v="61.98"/>
    <n v="335.56"/>
    <n v="5414.01"/>
    <x v="3"/>
    <s v="Urea"/>
    <n v="110.58"/>
    <n v="466.26"/>
    <s v="Laterite"/>
    <n v="24.85"/>
    <x v="79"/>
    <n v="2190.9754962465349"/>
    <n v="19.813487938565157"/>
    <x v="3"/>
    <x v="12"/>
    <x v="1"/>
    <x v="0"/>
    <x v="0"/>
  </r>
  <r>
    <s v="CID407"/>
    <d v="2017-02-22T00:00:00"/>
    <x v="4"/>
    <x v="1"/>
    <s v="Patiala"/>
    <x v="2"/>
    <x v="0"/>
    <n v="35.479999999999997"/>
    <n v="103.76"/>
    <n v="2924.43"/>
    <x v="0"/>
    <s v="Vermicompost"/>
    <n v="242.42"/>
    <n v="369.26"/>
    <s v="Alluvial"/>
    <n v="29.24"/>
    <x v="27"/>
    <n v="1183.4766597195523"/>
    <n v="4.8819266550596172"/>
    <x v="1"/>
    <x v="10"/>
    <x v="0"/>
    <x v="3"/>
    <x v="0"/>
  </r>
  <r>
    <s v="CID408"/>
    <d v="2010-08-13T00:00:00"/>
    <x v="0"/>
    <x v="6"/>
    <s v="Faridabad"/>
    <x v="1"/>
    <x v="4"/>
    <n v="68.849999999999994"/>
    <n v="133.29"/>
    <n v="1935.95"/>
    <x v="0"/>
    <s v="Urea"/>
    <n v="78.09"/>
    <n v="254.54"/>
    <s v="Sandy"/>
    <n v="33.9"/>
    <x v="82"/>
    <n v="783.45237854353411"/>
    <n v="10.032685088276784"/>
    <x v="6"/>
    <x v="18"/>
    <x v="4"/>
    <x v="0"/>
    <x v="0"/>
  </r>
  <r>
    <s v="CID409"/>
    <d v="2022-08-06T00:00:00"/>
    <x v="7"/>
    <x v="2"/>
    <s v="Mumbai"/>
    <x v="1"/>
    <x v="0"/>
    <n v="45.56"/>
    <n v="51.78"/>
    <n v="1136.49"/>
    <x v="3"/>
    <s v="Vermicompost"/>
    <n v="235"/>
    <n v="411.88"/>
    <s v="Sandy"/>
    <n v="27.85"/>
    <x v="125"/>
    <n v="459.92189555047452"/>
    <n v="1.9571144491509553"/>
    <x v="2"/>
    <x v="19"/>
    <x v="0"/>
    <x v="3"/>
    <x v="0"/>
  </r>
  <r>
    <s v="CID410"/>
    <d v="2021-08-09T00:00:00"/>
    <x v="8"/>
    <x v="3"/>
    <s v="Hubli"/>
    <x v="1"/>
    <x v="2"/>
    <n v="70.180000000000007"/>
    <n v="77.92"/>
    <n v="1110.33"/>
    <x v="0"/>
    <s v="Urea"/>
    <n v="113.86"/>
    <n v="260.11"/>
    <s v="Red"/>
    <n v="31.84"/>
    <x v="135"/>
    <n v="449.33530280649921"/>
    <n v="3.946384180629714"/>
    <x v="3"/>
    <x v="12"/>
    <x v="2"/>
    <x v="0"/>
    <x v="1"/>
  </r>
  <r>
    <s v="CID411"/>
    <d v="2010-09-06T00:00:00"/>
    <x v="0"/>
    <x v="3"/>
    <s v="Hubli"/>
    <x v="1"/>
    <x v="3"/>
    <n v="66.38"/>
    <n v="330.43"/>
    <n v="4977.8900000000003"/>
    <x v="2"/>
    <s v="Vermicompost"/>
    <n v="266.07"/>
    <n v="219.08"/>
    <s v="Laterite"/>
    <n v="23.47"/>
    <x v="21"/>
    <n v="2014.4837214949112"/>
    <n v="7.5712546378581242"/>
    <x v="3"/>
    <x v="12"/>
    <x v="3"/>
    <x v="3"/>
    <x v="1"/>
  </r>
  <r>
    <s v="CID412"/>
    <d v="2016-03-15T00:00:00"/>
    <x v="10"/>
    <x v="0"/>
    <s v="Lucknow"/>
    <x v="2"/>
    <x v="1"/>
    <n v="53.62"/>
    <n v="113.59"/>
    <n v="2118.5"/>
    <x v="1"/>
    <s v="NPK"/>
    <n v="190.17"/>
    <n v="912.47"/>
    <s v="Black"/>
    <n v="23.71"/>
    <x v="105"/>
    <n v="857.32785657918703"/>
    <n v="4.5082182078097865"/>
    <x v="0"/>
    <x v="0"/>
    <x v="1"/>
    <x v="4"/>
    <x v="0"/>
  </r>
  <r>
    <s v="CID413"/>
    <d v="2016-04-04T00:00:00"/>
    <x v="4"/>
    <x v="2"/>
    <s v="Pune"/>
    <x v="0"/>
    <x v="4"/>
    <n v="2.82"/>
    <n v="14.4"/>
    <n v="5105.87"/>
    <x v="2"/>
    <s v="NPK"/>
    <n v="206.31"/>
    <n v="436.2"/>
    <s v="Sandy"/>
    <n v="24.14"/>
    <x v="99"/>
    <n v="2066.2754699419274"/>
    <n v="10.015391740303075"/>
    <x v="2"/>
    <x v="2"/>
    <x v="4"/>
    <x v="4"/>
    <x v="0"/>
  </r>
  <r>
    <s v="CID414"/>
    <d v="2018-12-29T00:00:00"/>
    <x v="3"/>
    <x v="3"/>
    <s v="Bangalore"/>
    <x v="2"/>
    <x v="4"/>
    <n v="16.02"/>
    <n v="102.26"/>
    <n v="6383.05"/>
    <x v="3"/>
    <s v="Compost"/>
    <n v="71.95"/>
    <n v="582.21"/>
    <s v="Sandy"/>
    <n v="33.090000000000003"/>
    <x v="29"/>
    <n v="2583.1326763926268"/>
    <n v="35.901774515533383"/>
    <x v="3"/>
    <x v="3"/>
    <x v="4"/>
    <x v="1"/>
    <x v="0"/>
  </r>
  <r>
    <s v="CID415"/>
    <d v="2012-12-22T00:00:00"/>
    <x v="2"/>
    <x v="6"/>
    <s v="Hisar"/>
    <x v="2"/>
    <x v="0"/>
    <n v="91.06"/>
    <n v="270.97000000000003"/>
    <n v="2975.71"/>
    <x v="3"/>
    <s v="DAP"/>
    <n v="101.69"/>
    <n v="338.58"/>
    <s v="Sandy"/>
    <n v="30.26"/>
    <x v="113"/>
    <n v="1204.2289714898525"/>
    <n v="11.842157257250983"/>
    <x v="6"/>
    <x v="20"/>
    <x v="0"/>
    <x v="2"/>
    <x v="0"/>
  </r>
  <r>
    <s v="CID416"/>
    <d v="2021-05-06T00:00:00"/>
    <x v="8"/>
    <x v="2"/>
    <s v="Mumbai"/>
    <x v="0"/>
    <x v="4"/>
    <n v="43.58"/>
    <n v="281.27"/>
    <n v="6454.01"/>
    <x v="3"/>
    <s v="Vermicompost"/>
    <n v="214.06"/>
    <n v="764.84"/>
    <s v="Red"/>
    <n v="24.76"/>
    <x v="91"/>
    <n v="2611.8492138969264"/>
    <n v="12.201481892445699"/>
    <x v="2"/>
    <x v="19"/>
    <x v="4"/>
    <x v="3"/>
    <x v="0"/>
  </r>
  <r>
    <s v="CID417"/>
    <d v="2012-12-19T00:00:00"/>
    <x v="2"/>
    <x v="0"/>
    <s v="Lucknow"/>
    <x v="2"/>
    <x v="4"/>
    <n v="72.98"/>
    <n v="408.15"/>
    <n v="5592.61"/>
    <x v="1"/>
    <s v="Urea"/>
    <n v="290.3"/>
    <n v="503.35"/>
    <s v="Alluvial"/>
    <n v="22.28"/>
    <x v="113"/>
    <n v="2263.25246352765"/>
    <n v="7.7962537496646567"/>
    <x v="0"/>
    <x v="0"/>
    <x v="4"/>
    <x v="0"/>
    <x v="0"/>
  </r>
  <r>
    <s v="CID418"/>
    <d v="2010-05-15T00:00:00"/>
    <x v="0"/>
    <x v="6"/>
    <s v="Gurgaon"/>
    <x v="0"/>
    <x v="1"/>
    <n v="27.42"/>
    <n v="120.71"/>
    <n v="4402.26"/>
    <x v="3"/>
    <s v="Compost"/>
    <n v="199.09"/>
    <n v="430.91"/>
    <s v="Black"/>
    <n v="25.39"/>
    <x v="61"/>
    <n v="1781.5341656380892"/>
    <n v="8.9483859844195557"/>
    <x v="6"/>
    <x v="17"/>
    <x v="1"/>
    <x v="1"/>
    <x v="0"/>
  </r>
  <r>
    <s v="CID419"/>
    <d v="2020-02-13T00:00:00"/>
    <x v="12"/>
    <x v="6"/>
    <s v="Hisar"/>
    <x v="2"/>
    <x v="2"/>
    <n v="65.31"/>
    <n v="137.4"/>
    <n v="2103.86"/>
    <x v="1"/>
    <s v="Urea"/>
    <n v="172.86"/>
    <n v="337.51"/>
    <s v="Red"/>
    <n v="23.39"/>
    <x v="78"/>
    <n v="851.40324963072385"/>
    <n v="4.9253919335342111"/>
    <x v="6"/>
    <x v="20"/>
    <x v="2"/>
    <x v="0"/>
    <x v="1"/>
  </r>
  <r>
    <s v="CID420"/>
    <d v="2013-05-02T00:00:00"/>
    <x v="1"/>
    <x v="2"/>
    <s v="Pune"/>
    <x v="0"/>
    <x v="2"/>
    <n v="98.84"/>
    <n v="548.23"/>
    <n v="5546.66"/>
    <x v="0"/>
    <s v="NPK"/>
    <n v="94.27"/>
    <n v="1154.7"/>
    <s v="Laterite"/>
    <n v="33.01"/>
    <x v="67"/>
    <n v="2244.6571295603085"/>
    <n v="23.810938045616936"/>
    <x v="2"/>
    <x v="2"/>
    <x v="2"/>
    <x v="4"/>
    <x v="1"/>
  </r>
  <r>
    <s v="CID421"/>
    <d v="2014-03-15T00:00:00"/>
    <x v="1"/>
    <x v="4"/>
    <s v="Howrah"/>
    <x v="2"/>
    <x v="3"/>
    <n v="77.849999999999994"/>
    <n v="361.81"/>
    <n v="4647.58"/>
    <x v="1"/>
    <s v="Urea"/>
    <n v="230.05"/>
    <n v="594.15"/>
    <s v="Sandy"/>
    <n v="28.91"/>
    <x v="37"/>
    <n v="1880.8118006515449"/>
    <n v="8.1756652929865012"/>
    <x v="4"/>
    <x v="16"/>
    <x v="3"/>
    <x v="0"/>
    <x v="1"/>
  </r>
  <r>
    <s v="CID422"/>
    <d v="2017-11-13T00:00:00"/>
    <x v="6"/>
    <x v="5"/>
    <s v="Patna"/>
    <x v="2"/>
    <x v="5"/>
    <n v="87.9"/>
    <n v="217.49"/>
    <n v="2474.33"/>
    <x v="1"/>
    <s v="DAP"/>
    <n v="295.95999999999998"/>
    <n v="239.25"/>
    <s v="Laterite"/>
    <n v="27.74"/>
    <x v="54"/>
    <n v="1001.3273709556667"/>
    <n v="3.3833199451130787"/>
    <x v="5"/>
    <x v="7"/>
    <x v="5"/>
    <x v="2"/>
    <x v="0"/>
  </r>
  <r>
    <s v="CID423"/>
    <d v="2017-02-24T00:00:00"/>
    <x v="4"/>
    <x v="2"/>
    <s v="Pune"/>
    <x v="2"/>
    <x v="0"/>
    <n v="46.67"/>
    <n v="164.97"/>
    <n v="3534.77"/>
    <x v="0"/>
    <s v="Urea"/>
    <n v="222.49"/>
    <n v="1103.68"/>
    <s v="Laterite"/>
    <n v="32.450000000000003"/>
    <x v="27"/>
    <n v="1430.4728759029563"/>
    <n v="6.4293805380149953"/>
    <x v="2"/>
    <x v="2"/>
    <x v="0"/>
    <x v="0"/>
    <x v="0"/>
  </r>
  <r>
    <s v="CID424"/>
    <d v="2011-10-30T00:00:00"/>
    <x v="5"/>
    <x v="0"/>
    <s v="Varanasi"/>
    <x v="1"/>
    <x v="1"/>
    <n v="93.85"/>
    <n v="485.83"/>
    <n v="5176.68"/>
    <x v="3"/>
    <s v="DAP"/>
    <n v="148.27000000000001"/>
    <n v="523.46"/>
    <s v="Black"/>
    <n v="22.68"/>
    <x v="64"/>
    <n v="2094.9313045061817"/>
    <n v="14.129165067148996"/>
    <x v="0"/>
    <x v="6"/>
    <x v="1"/>
    <x v="2"/>
    <x v="0"/>
  </r>
  <r>
    <s v="CID425"/>
    <d v="2015-02-01T00:00:00"/>
    <x v="9"/>
    <x v="3"/>
    <s v="Bangalore"/>
    <x v="2"/>
    <x v="2"/>
    <n v="65.209999999999994"/>
    <n v="343.58"/>
    <n v="5268.82"/>
    <x v="3"/>
    <s v="Urea"/>
    <n v="229.59"/>
    <n v="323.54000000000002"/>
    <s v="Black"/>
    <n v="30.59"/>
    <x v="129"/>
    <n v="2132.2190971449381"/>
    <n v="9.2870730308155327"/>
    <x v="3"/>
    <x v="3"/>
    <x v="2"/>
    <x v="0"/>
    <x v="1"/>
  </r>
  <r>
    <s v="CID426"/>
    <d v="2016-05-13T00:00:00"/>
    <x v="4"/>
    <x v="5"/>
    <s v="Bhagalpur"/>
    <x v="0"/>
    <x v="1"/>
    <n v="61.6"/>
    <n v="120.7"/>
    <n v="1959.4"/>
    <x v="1"/>
    <s v="DAP"/>
    <n v="60.98"/>
    <n v="370.88"/>
    <s v="Alluvial"/>
    <n v="28.48"/>
    <x v="30"/>
    <n v="792.9422715040165"/>
    <n v="13.003317013840874"/>
    <x v="5"/>
    <x v="15"/>
    <x v="1"/>
    <x v="2"/>
    <x v="0"/>
  </r>
  <r>
    <s v="CID427"/>
    <d v="2012-04-01T00:00:00"/>
    <x v="2"/>
    <x v="6"/>
    <s v="Gurgaon"/>
    <x v="0"/>
    <x v="5"/>
    <n v="42.54"/>
    <n v="121.54"/>
    <n v="2857.11"/>
    <x v="1"/>
    <s v="Vermicompost"/>
    <n v="122.2"/>
    <n v="380.7"/>
    <s v="Red"/>
    <n v="34.409999999999997"/>
    <x v="101"/>
    <n v="1156.2331802270292"/>
    <n v="9.4618099854912359"/>
    <x v="6"/>
    <x v="17"/>
    <x v="5"/>
    <x v="3"/>
    <x v="0"/>
  </r>
  <r>
    <s v="CID428"/>
    <d v="2011-03-02T00:00:00"/>
    <x v="0"/>
    <x v="4"/>
    <s v="Howrah"/>
    <x v="2"/>
    <x v="3"/>
    <n v="85.69"/>
    <n v="365.13"/>
    <n v="4261.01"/>
    <x v="0"/>
    <s v="Compost"/>
    <n v="202"/>
    <n v="693.47"/>
    <s v="Red"/>
    <n v="28.83"/>
    <x v="88"/>
    <n v="1724.3722304283606"/>
    <n v="8.5364961902394096"/>
    <x v="4"/>
    <x v="16"/>
    <x v="3"/>
    <x v="1"/>
    <x v="1"/>
  </r>
  <r>
    <s v="CID429"/>
    <d v="2011-04-10T00:00:00"/>
    <x v="5"/>
    <x v="3"/>
    <s v="Mysore"/>
    <x v="0"/>
    <x v="1"/>
    <n v="1.65"/>
    <n v="10.38"/>
    <n v="6293.01"/>
    <x v="2"/>
    <s v="Urea"/>
    <n v="204.94"/>
    <n v="757.55"/>
    <s v="Red"/>
    <n v="20.73"/>
    <x v="62"/>
    <n v="2546.6947249145101"/>
    <n v="12.426538132694985"/>
    <x v="3"/>
    <x v="5"/>
    <x v="1"/>
    <x v="0"/>
    <x v="0"/>
  </r>
  <r>
    <s v="CID430"/>
    <d v="2010-07-16T00:00:00"/>
    <x v="0"/>
    <x v="0"/>
    <s v="Kanpur"/>
    <x v="1"/>
    <x v="5"/>
    <n v="67.03"/>
    <n v="404.06"/>
    <n v="6028.09"/>
    <x v="2"/>
    <s v="DAP"/>
    <n v="132.78"/>
    <n v="287.7"/>
    <s v="Black"/>
    <n v="26.25"/>
    <x v="126"/>
    <n v="2439.4852390684123"/>
    <n v="18.372384689474412"/>
    <x v="0"/>
    <x v="11"/>
    <x v="5"/>
    <x v="2"/>
    <x v="0"/>
  </r>
  <r>
    <s v="CID431"/>
    <d v="2019-04-06T00:00:00"/>
    <x v="12"/>
    <x v="0"/>
    <s v="Kanpur"/>
    <x v="0"/>
    <x v="2"/>
    <n v="70.28"/>
    <n v="311.60000000000002"/>
    <n v="4433.7"/>
    <x v="3"/>
    <s v="NPK"/>
    <n v="291.57"/>
    <n v="949.33"/>
    <s v="Alluvial"/>
    <n v="33.97"/>
    <x v="38"/>
    <n v="1794.2575018716739"/>
    <n v="6.1537795447805808"/>
    <x v="0"/>
    <x v="11"/>
    <x v="2"/>
    <x v="4"/>
    <x v="1"/>
  </r>
  <r>
    <s v="CID432"/>
    <d v="2016-09-14T00:00:00"/>
    <x v="4"/>
    <x v="2"/>
    <s v="Pune"/>
    <x v="1"/>
    <x v="3"/>
    <n v="84.49"/>
    <n v="117.4"/>
    <n v="1389.56"/>
    <x v="1"/>
    <s v="Vermicompost"/>
    <n v="83.64"/>
    <n v="894.62"/>
    <s v="Alluvial"/>
    <n v="24.94"/>
    <x v="123"/>
    <n v="562.33584913295965"/>
    <n v="6.7232884879598238"/>
    <x v="2"/>
    <x v="2"/>
    <x v="3"/>
    <x v="3"/>
    <x v="1"/>
  </r>
  <r>
    <s v="CID433"/>
    <d v="2013-05-25T00:00:00"/>
    <x v="1"/>
    <x v="6"/>
    <s v="Hisar"/>
    <x v="0"/>
    <x v="5"/>
    <n v="11.82"/>
    <n v="63.57"/>
    <n v="5378.37"/>
    <x v="0"/>
    <s v="NPK"/>
    <n v="170.92"/>
    <n v="888.65"/>
    <s v="Alluvial"/>
    <n v="26.41"/>
    <x v="67"/>
    <n v="2176.5524776916695"/>
    <n v="12.734334645984493"/>
    <x v="6"/>
    <x v="20"/>
    <x v="5"/>
    <x v="4"/>
    <x v="0"/>
  </r>
  <r>
    <s v="CID434"/>
    <d v="2019-05-27T00:00:00"/>
    <x v="12"/>
    <x v="2"/>
    <s v="Mumbai"/>
    <x v="0"/>
    <x v="0"/>
    <n v="92.78"/>
    <n v="434.74"/>
    <n v="4685.74"/>
    <x v="1"/>
    <s v="Vermicompost"/>
    <n v="179.93"/>
    <n v="831.86"/>
    <s v="Laterite"/>
    <n v="32.119999999999997"/>
    <x v="51"/>
    <n v="1896.2546285991784"/>
    <n v="10.538846376919793"/>
    <x v="2"/>
    <x v="19"/>
    <x v="0"/>
    <x v="3"/>
    <x v="0"/>
  </r>
  <r>
    <s v="CID435"/>
    <d v="2014-09-14T00:00:00"/>
    <x v="9"/>
    <x v="6"/>
    <s v="Hisar"/>
    <x v="1"/>
    <x v="5"/>
    <n v="12.7"/>
    <n v="48.12"/>
    <n v="3789.31"/>
    <x v="0"/>
    <s v="Urea"/>
    <n v="234.37"/>
    <n v="407.33"/>
    <s v="Sandy"/>
    <n v="34.979999999999997"/>
    <x v="133"/>
    <n v="1533.4817182978895"/>
    <n v="6.5429949152958544"/>
    <x v="6"/>
    <x v="20"/>
    <x v="5"/>
    <x v="0"/>
    <x v="0"/>
  </r>
  <r>
    <s v="CID436"/>
    <d v="2018-04-21T00:00:00"/>
    <x v="3"/>
    <x v="2"/>
    <s v="Pune"/>
    <x v="0"/>
    <x v="4"/>
    <n v="2.12"/>
    <n v="4.68"/>
    <n v="2207.12"/>
    <x v="2"/>
    <s v="Urea"/>
    <n v="113.6"/>
    <n v="267.83999999999997"/>
    <s v="Alluvial"/>
    <n v="27.6"/>
    <x v="59"/>
    <n v="893.19115355820395"/>
    <n v="7.862598182730669"/>
    <x v="2"/>
    <x v="2"/>
    <x v="4"/>
    <x v="0"/>
    <x v="0"/>
  </r>
  <r>
    <s v="CID437"/>
    <d v="2016-03-02T00:00:00"/>
    <x v="10"/>
    <x v="1"/>
    <s v="Patiala"/>
    <x v="2"/>
    <x v="3"/>
    <n v="72.72"/>
    <n v="341.49"/>
    <n v="4695.96"/>
    <x v="0"/>
    <s v="Compost"/>
    <n v="258.01"/>
    <n v="394.02"/>
    <s v="Alluvial"/>
    <n v="33.83"/>
    <x v="105"/>
    <n v="1900.3905222476276"/>
    <n v="7.3655692502136647"/>
    <x v="1"/>
    <x v="10"/>
    <x v="3"/>
    <x v="1"/>
    <x v="1"/>
  </r>
  <r>
    <s v="CID438"/>
    <d v="2020-08-16T00:00:00"/>
    <x v="11"/>
    <x v="4"/>
    <s v="Kolkata"/>
    <x v="1"/>
    <x v="3"/>
    <n v="16.38"/>
    <n v="61.65"/>
    <n v="3763.71"/>
    <x v="2"/>
    <s v="Vermicompost"/>
    <n v="165.62"/>
    <n v="1014.17"/>
    <s v="Black"/>
    <n v="32.53"/>
    <x v="66"/>
    <n v="1523.1217498634185"/>
    <n v="9.1964844213465664"/>
    <x v="4"/>
    <x v="4"/>
    <x v="3"/>
    <x v="3"/>
    <x v="1"/>
  </r>
  <r>
    <s v="CID439"/>
    <d v="2015-04-10T00:00:00"/>
    <x v="10"/>
    <x v="0"/>
    <s v="Varanasi"/>
    <x v="0"/>
    <x v="1"/>
    <n v="2.85"/>
    <n v="12.72"/>
    <n v="4464.3900000000003"/>
    <x v="2"/>
    <s v="NPK"/>
    <n v="249.88"/>
    <n v="1088.03"/>
    <s v="Alluvial"/>
    <n v="20.99"/>
    <x v="93"/>
    <n v="1806.6773234050304"/>
    <n v="7.2301797799144802"/>
    <x v="0"/>
    <x v="6"/>
    <x v="1"/>
    <x v="4"/>
    <x v="0"/>
  </r>
  <r>
    <s v="CID440"/>
    <d v="2016-01-20T00:00:00"/>
    <x v="10"/>
    <x v="4"/>
    <s v="Kolkata"/>
    <x v="2"/>
    <x v="2"/>
    <n v="53.89"/>
    <n v="107.55"/>
    <n v="1995.82"/>
    <x v="1"/>
    <s v="Urea"/>
    <n v="96.84"/>
    <n v="316.83999999999997"/>
    <s v="Alluvial"/>
    <n v="30.58"/>
    <x v="136"/>
    <n v="807.68094534711963"/>
    <n v="8.3403649870623671"/>
    <x v="4"/>
    <x v="4"/>
    <x v="2"/>
    <x v="0"/>
    <x v="1"/>
  </r>
  <r>
    <s v="CID441"/>
    <d v="2011-11-10T00:00:00"/>
    <x v="5"/>
    <x v="2"/>
    <s v="Pune"/>
    <x v="2"/>
    <x v="4"/>
    <n v="37.79"/>
    <n v="225.86"/>
    <n v="5976.74"/>
    <x v="2"/>
    <s v="DAP"/>
    <n v="104.03"/>
    <n v="502.32"/>
    <s v="Black"/>
    <n v="25.61"/>
    <x v="73"/>
    <n v="2418.704599259424"/>
    <n v="23.250068242424529"/>
    <x v="2"/>
    <x v="2"/>
    <x v="4"/>
    <x v="2"/>
    <x v="0"/>
  </r>
  <r>
    <s v="CID442"/>
    <d v="2018-08-23T00:00:00"/>
    <x v="3"/>
    <x v="1"/>
    <s v="Amritsar"/>
    <x v="1"/>
    <x v="3"/>
    <n v="90.59"/>
    <n v="174.34"/>
    <n v="1924.47"/>
    <x v="2"/>
    <s v="DAP"/>
    <n v="280.91000000000003"/>
    <n v="932.44"/>
    <s v="Sandy"/>
    <n v="24.66"/>
    <x v="63"/>
    <n v="778.806580198701"/>
    <n v="2.7724416368185572"/>
    <x v="1"/>
    <x v="14"/>
    <x v="3"/>
    <x v="2"/>
    <x v="1"/>
  </r>
  <r>
    <s v="CID443"/>
    <d v="2018-04-03T00:00:00"/>
    <x v="3"/>
    <x v="4"/>
    <s v="Kolkata"/>
    <x v="0"/>
    <x v="4"/>
    <n v="21.31"/>
    <n v="25.98"/>
    <n v="1219.32"/>
    <x v="1"/>
    <s v="Vermicompost"/>
    <n v="228.42"/>
    <n v="722.34"/>
    <s v="Black"/>
    <n v="24.66"/>
    <x v="59"/>
    <n v="493.44205904372632"/>
    <n v="2.1602401674272231"/>
    <x v="4"/>
    <x v="4"/>
    <x v="4"/>
    <x v="3"/>
    <x v="0"/>
  </r>
  <r>
    <s v="CID444"/>
    <d v="2015-12-20T00:00:00"/>
    <x v="10"/>
    <x v="4"/>
    <s v="Kolkata"/>
    <x v="2"/>
    <x v="5"/>
    <n v="11.21"/>
    <n v="62.74"/>
    <n v="5597.08"/>
    <x v="2"/>
    <s v="NPK"/>
    <n v="55.62"/>
    <n v="958.49"/>
    <s v="Red"/>
    <n v="24.81"/>
    <x v="137"/>
    <n v="2265.0614111410127"/>
    <n v="40.723865716307316"/>
    <x v="4"/>
    <x v="4"/>
    <x v="5"/>
    <x v="4"/>
    <x v="0"/>
  </r>
  <r>
    <s v="CID445"/>
    <d v="2015-12-23T00:00:00"/>
    <x v="10"/>
    <x v="2"/>
    <s v="Mumbai"/>
    <x v="2"/>
    <x v="2"/>
    <n v="12.65"/>
    <n v="23.98"/>
    <n v="1895.92"/>
    <x v="2"/>
    <s v="Vermicompost"/>
    <n v="78.62"/>
    <n v="1158.3"/>
    <s v="Sandy"/>
    <n v="27.71"/>
    <x v="137"/>
    <n v="767.25278727666375"/>
    <n v="9.759002636436831"/>
    <x v="2"/>
    <x v="19"/>
    <x v="2"/>
    <x v="3"/>
    <x v="1"/>
  </r>
  <r>
    <s v="CID446"/>
    <d v="2015-11-13T00:00:00"/>
    <x v="10"/>
    <x v="2"/>
    <s v="Mumbai"/>
    <x v="2"/>
    <x v="4"/>
    <n v="94.38"/>
    <n v="549.66999999999996"/>
    <n v="5824.02"/>
    <x v="3"/>
    <s v="DAP"/>
    <n v="92.82"/>
    <n v="511.38"/>
    <s v="Alluvial"/>
    <n v="28.11"/>
    <x v="120"/>
    <n v="2356.900912567532"/>
    <n v="25.392166694328079"/>
    <x v="2"/>
    <x v="19"/>
    <x v="4"/>
    <x v="2"/>
    <x v="0"/>
  </r>
  <r>
    <s v="CID447"/>
    <d v="2020-09-23T00:00:00"/>
    <x v="11"/>
    <x v="1"/>
    <s v="Amritsar"/>
    <x v="1"/>
    <x v="5"/>
    <n v="38.979999999999997"/>
    <n v="59.12"/>
    <n v="1516.72"/>
    <x v="1"/>
    <s v="Vermicompost"/>
    <n v="94.75"/>
    <n v="796.12"/>
    <s v="Sandy"/>
    <n v="29.44"/>
    <x v="41"/>
    <n v="613.79575484105953"/>
    <n v="6.4780554600639526"/>
    <x v="1"/>
    <x v="14"/>
    <x v="5"/>
    <x v="3"/>
    <x v="0"/>
  </r>
  <r>
    <s v="CID448"/>
    <d v="2015-06-24T00:00:00"/>
    <x v="10"/>
    <x v="2"/>
    <s v="Pune"/>
    <x v="1"/>
    <x v="2"/>
    <n v="76.08"/>
    <n v="445.51"/>
    <n v="5855.8"/>
    <x v="0"/>
    <s v="Compost"/>
    <n v="293.42"/>
    <n v="955.74"/>
    <s v="Laterite"/>
    <n v="28.52"/>
    <x v="134"/>
    <n v="2369.7618421318875"/>
    <n v="8.0763473591844033"/>
    <x v="2"/>
    <x v="2"/>
    <x v="2"/>
    <x v="1"/>
    <x v="1"/>
  </r>
  <r>
    <s v="CID449"/>
    <d v="2014-04-24T00:00:00"/>
    <x v="9"/>
    <x v="1"/>
    <s v="Amritsar"/>
    <x v="0"/>
    <x v="2"/>
    <n v="71.31"/>
    <n v="270.43"/>
    <n v="3792.38"/>
    <x v="3"/>
    <s v="Compost"/>
    <n v="286.86"/>
    <n v="343.72"/>
    <s v="Sandy"/>
    <n v="23.87"/>
    <x v="31"/>
    <n v="1534.7241051374922"/>
    <n v="5.3500805449957891"/>
    <x v="1"/>
    <x v="14"/>
    <x v="2"/>
    <x v="1"/>
    <x v="1"/>
  </r>
  <r>
    <s v="CID450"/>
    <d v="2021-01-29T00:00:00"/>
    <x v="11"/>
    <x v="6"/>
    <s v="Hisar"/>
    <x v="2"/>
    <x v="0"/>
    <n v="45.88"/>
    <n v="54.21"/>
    <n v="1181.58"/>
    <x v="1"/>
    <s v="Vermicompost"/>
    <n v="78.22"/>
    <n v="678.65"/>
    <s v="Red"/>
    <n v="24.23"/>
    <x v="43"/>
    <n v="478.16919932822077"/>
    <n v="6.113132182667103"/>
    <x v="6"/>
    <x v="20"/>
    <x v="0"/>
    <x v="3"/>
    <x v="0"/>
  </r>
  <r>
    <s v="CID451"/>
    <d v="2018-09-11T00:00:00"/>
    <x v="3"/>
    <x v="5"/>
    <s v="Patna"/>
    <x v="1"/>
    <x v="3"/>
    <n v="81.94"/>
    <n v="473.66"/>
    <n v="5780.55"/>
    <x v="2"/>
    <s v="Vermicompost"/>
    <n v="189.04"/>
    <n v="270.92"/>
    <s v="Alluvial"/>
    <n v="27.99"/>
    <x v="22"/>
    <n v="2339.3092005422795"/>
    <n v="12.374678377815698"/>
    <x v="5"/>
    <x v="7"/>
    <x v="3"/>
    <x v="3"/>
    <x v="1"/>
  </r>
  <r>
    <s v="CID452"/>
    <d v="2019-09-20T00:00:00"/>
    <x v="12"/>
    <x v="3"/>
    <s v="Bangalore"/>
    <x v="1"/>
    <x v="1"/>
    <n v="16.739999999999998"/>
    <n v="65.19"/>
    <n v="3894.25"/>
    <x v="0"/>
    <s v="Vermicompost"/>
    <n v="135.18"/>
    <n v="1013.92"/>
    <s v="Sandy"/>
    <n v="26.47"/>
    <x v="77"/>
    <n v="1575.949495153882"/>
    <n v="11.658155756427593"/>
    <x v="3"/>
    <x v="3"/>
    <x v="1"/>
    <x v="3"/>
    <x v="0"/>
  </r>
  <r>
    <s v="CID453"/>
    <d v="2018-05-23T00:00:00"/>
    <x v="3"/>
    <x v="4"/>
    <s v="Howrah"/>
    <x v="0"/>
    <x v="4"/>
    <n v="18.14"/>
    <n v="91.02"/>
    <n v="5017.63"/>
    <x v="1"/>
    <s v="Compost"/>
    <n v="78.58"/>
    <n v="796.08"/>
    <s v="Alluvial"/>
    <n v="28.33"/>
    <x v="92"/>
    <n v="2030.5659537443598"/>
    <n v="25.840747693361667"/>
    <x v="4"/>
    <x v="16"/>
    <x v="4"/>
    <x v="1"/>
    <x v="0"/>
  </r>
  <r>
    <s v="CID454"/>
    <d v="2016-07-06T00:00:00"/>
    <x v="4"/>
    <x v="6"/>
    <s v="Faridabad"/>
    <x v="1"/>
    <x v="1"/>
    <n v="11.77"/>
    <n v="69.260000000000005"/>
    <n v="5884.4"/>
    <x v="1"/>
    <s v="Vermicompost"/>
    <n v="131.85"/>
    <n v="844.99"/>
    <s v="Black"/>
    <n v="21.36"/>
    <x v="128"/>
    <n v="2381.3358693672731"/>
    <n v="18.06094705625539"/>
    <x v="6"/>
    <x v="18"/>
    <x v="1"/>
    <x v="3"/>
    <x v="0"/>
  </r>
  <r>
    <s v="CID455"/>
    <d v="2022-08-21T00:00:00"/>
    <x v="7"/>
    <x v="4"/>
    <s v="Darjeeling"/>
    <x v="1"/>
    <x v="4"/>
    <n v="66.430000000000007"/>
    <n v="246.98"/>
    <n v="3717.85"/>
    <x v="2"/>
    <s v="NPK"/>
    <n v="147.5"/>
    <n v="777.93"/>
    <s v="Red"/>
    <n v="23.08"/>
    <x v="125"/>
    <n v="1504.5628376601039"/>
    <n v="10.200426018034603"/>
    <x v="4"/>
    <x v="9"/>
    <x v="4"/>
    <x v="4"/>
    <x v="0"/>
  </r>
  <r>
    <s v="CID456"/>
    <d v="2014-12-03T00:00:00"/>
    <x v="9"/>
    <x v="5"/>
    <s v="Bhagalpur"/>
    <x v="2"/>
    <x v="2"/>
    <n v="98.28"/>
    <n v="301.29000000000002"/>
    <n v="3065.59"/>
    <x v="0"/>
    <s v="NPK"/>
    <n v="195.68"/>
    <n v="811.49"/>
    <s v="Sandy"/>
    <n v="26.06"/>
    <x v="18"/>
    <n v="1240.6021731652538"/>
    <n v="6.3399538694054263"/>
    <x v="5"/>
    <x v="15"/>
    <x v="2"/>
    <x v="4"/>
    <x v="1"/>
  </r>
  <r>
    <s v="CID457"/>
    <d v="2018-10-30T00:00:00"/>
    <x v="3"/>
    <x v="1"/>
    <s v="Amritsar"/>
    <x v="1"/>
    <x v="5"/>
    <n v="70.63"/>
    <n v="418.45"/>
    <n v="5924.52"/>
    <x v="2"/>
    <s v="Compost"/>
    <n v="77.42"/>
    <n v="482.21"/>
    <s v="Black"/>
    <n v="23.53"/>
    <x v="9"/>
    <n v="2397.5718823981711"/>
    <n v="30.968378744486838"/>
    <x v="1"/>
    <x v="14"/>
    <x v="5"/>
    <x v="1"/>
    <x v="0"/>
  </r>
  <r>
    <s v="CID458"/>
    <d v="2022-02-01T00:00:00"/>
    <x v="8"/>
    <x v="0"/>
    <s v="Kanpur"/>
    <x v="2"/>
    <x v="3"/>
    <n v="38.770000000000003"/>
    <n v="165.58"/>
    <n v="4270.71"/>
    <x v="3"/>
    <s v="Compost"/>
    <n v="168.72"/>
    <n v="388.23"/>
    <s v="Laterite"/>
    <n v="32.65"/>
    <x v="55"/>
    <n v="1728.2976872179843"/>
    <n v="10.243585154208063"/>
    <x v="0"/>
    <x v="11"/>
    <x v="3"/>
    <x v="1"/>
    <x v="1"/>
  </r>
  <r>
    <s v="CID459"/>
    <d v="2020-07-05T00:00:00"/>
    <x v="11"/>
    <x v="6"/>
    <s v="Faridabad"/>
    <x v="1"/>
    <x v="4"/>
    <n v="2.15"/>
    <n v="10.51"/>
    <n v="4890.34"/>
    <x v="3"/>
    <s v="Urea"/>
    <n v="230.33"/>
    <n v="686.7"/>
    <s v="Laterite"/>
    <n v="34.619999999999997"/>
    <x v="138"/>
    <n v="1979.0534388215538"/>
    <n v="8.5922521548280884"/>
    <x v="6"/>
    <x v="18"/>
    <x v="4"/>
    <x v="0"/>
    <x v="0"/>
  </r>
  <r>
    <s v="CID460"/>
    <d v="2023-02-24T00:00:00"/>
    <x v="7"/>
    <x v="6"/>
    <s v="Hisar"/>
    <x v="2"/>
    <x v="3"/>
    <n v="89.46"/>
    <n v="462.72"/>
    <n v="5172.34"/>
    <x v="1"/>
    <s v="Compost"/>
    <n v="205.81"/>
    <n v="654.39"/>
    <s v="Laterite"/>
    <n v="28.28"/>
    <x v="124"/>
    <n v="2093.1749661075251"/>
    <n v="10.170424012961105"/>
    <x v="6"/>
    <x v="20"/>
    <x v="3"/>
    <x v="1"/>
    <x v="1"/>
  </r>
  <r>
    <s v="CID461"/>
    <d v="2012-11-09T00:00:00"/>
    <x v="2"/>
    <x v="2"/>
    <s v="Nagpur"/>
    <x v="2"/>
    <x v="1"/>
    <n v="1.74"/>
    <n v="6.94"/>
    <n v="3988.94"/>
    <x v="3"/>
    <s v="Urea"/>
    <n v="228.03"/>
    <n v="469.25"/>
    <s v="Sandy"/>
    <n v="28.65"/>
    <x v="5"/>
    <n v="1614.2692377734163"/>
    <n v="7.0791967625900813"/>
    <x v="2"/>
    <x v="13"/>
    <x v="1"/>
    <x v="0"/>
    <x v="0"/>
  </r>
  <r>
    <s v="CID462"/>
    <d v="2021-11-21T00:00:00"/>
    <x v="8"/>
    <x v="5"/>
    <s v="Gaya"/>
    <x v="2"/>
    <x v="5"/>
    <n v="58.45"/>
    <n v="395.73"/>
    <n v="6770.43"/>
    <x v="0"/>
    <s v="Vermicompost"/>
    <n v="85.52"/>
    <n v="931.29"/>
    <s v="Alluvial"/>
    <n v="26.97"/>
    <x v="74"/>
    <n v="2739.9000424920582"/>
    <n v="32.038120234939875"/>
    <x v="5"/>
    <x v="8"/>
    <x v="5"/>
    <x v="3"/>
    <x v="0"/>
  </r>
  <r>
    <s v="CID463"/>
    <d v="2013-11-14T00:00:00"/>
    <x v="1"/>
    <x v="5"/>
    <s v="Patna"/>
    <x v="2"/>
    <x v="2"/>
    <n v="74.430000000000007"/>
    <n v="503.33"/>
    <n v="6762.47"/>
    <x v="0"/>
    <s v="NPK"/>
    <n v="221.02"/>
    <n v="739.2"/>
    <s v="Sandy"/>
    <n v="24.69"/>
    <x v="127"/>
    <n v="2736.6787398069646"/>
    <n v="12.382041171871164"/>
    <x v="5"/>
    <x v="7"/>
    <x v="2"/>
    <x v="4"/>
    <x v="1"/>
  </r>
  <r>
    <s v="CID464"/>
    <d v="2017-11-10T00:00:00"/>
    <x v="6"/>
    <x v="5"/>
    <s v="Patna"/>
    <x v="2"/>
    <x v="1"/>
    <n v="90.7"/>
    <n v="403.05"/>
    <n v="4443.79"/>
    <x v="2"/>
    <s v="Vermicompost"/>
    <n v="155.25"/>
    <n v="1160.58"/>
    <s v="Alluvial"/>
    <n v="24.34"/>
    <x v="54"/>
    <n v="1798.3407863054167"/>
    <n v="11.583515531757918"/>
    <x v="5"/>
    <x v="7"/>
    <x v="1"/>
    <x v="3"/>
    <x v="0"/>
  </r>
  <r>
    <s v="CID465"/>
    <d v="2021-05-10T00:00:00"/>
    <x v="8"/>
    <x v="0"/>
    <s v="Kanpur"/>
    <x v="0"/>
    <x v="0"/>
    <n v="7.08"/>
    <n v="27.18"/>
    <n v="3838.96"/>
    <x v="3"/>
    <s v="Urea"/>
    <n v="193.21"/>
    <n v="856.32"/>
    <s v="Alluvial"/>
    <n v="32.130000000000003"/>
    <x v="91"/>
    <n v="1553.574391453026"/>
    <n v="8.0408591245433776"/>
    <x v="0"/>
    <x v="11"/>
    <x v="0"/>
    <x v="0"/>
    <x v="0"/>
  </r>
  <r>
    <s v="CID466"/>
    <d v="2011-06-29T00:00:00"/>
    <x v="5"/>
    <x v="2"/>
    <s v="Pune"/>
    <x v="1"/>
    <x v="1"/>
    <n v="8.61"/>
    <n v="49.1"/>
    <n v="5702.58"/>
    <x v="2"/>
    <s v="Vermicompost"/>
    <n v="83.13"/>
    <n v="480.97"/>
    <s v="Alluvial"/>
    <n v="20.21"/>
    <x v="85"/>
    <n v="2307.7558123065096"/>
    <n v="27.760806114597735"/>
    <x v="2"/>
    <x v="2"/>
    <x v="1"/>
    <x v="3"/>
    <x v="0"/>
  </r>
  <r>
    <s v="CID467"/>
    <d v="2021-06-09T00:00:00"/>
    <x v="8"/>
    <x v="6"/>
    <s v="Hisar"/>
    <x v="1"/>
    <x v="2"/>
    <n v="45.22"/>
    <n v="264.39999999999998"/>
    <n v="5847.04"/>
    <x v="2"/>
    <s v="NPK"/>
    <n v="245.63"/>
    <n v="436.2"/>
    <s v="Red"/>
    <n v="31.99"/>
    <x v="12"/>
    <n v="2366.2167904332168"/>
    <n v="9.6332564850922804"/>
    <x v="6"/>
    <x v="20"/>
    <x v="2"/>
    <x v="4"/>
    <x v="1"/>
  </r>
  <r>
    <s v="CID468"/>
    <d v="2019-08-28T00:00:00"/>
    <x v="12"/>
    <x v="1"/>
    <s v="Ludhiana"/>
    <x v="1"/>
    <x v="3"/>
    <n v="75.52"/>
    <n v="262.64"/>
    <n v="3477.69"/>
    <x v="1"/>
    <s v="Urea"/>
    <n v="109.49"/>
    <n v="640.19000000000005"/>
    <s v="Red"/>
    <n v="23.16"/>
    <x v="139"/>
    <n v="1407.3733837842212"/>
    <n v="12.853898838105957"/>
    <x v="1"/>
    <x v="1"/>
    <x v="3"/>
    <x v="0"/>
    <x v="1"/>
  </r>
  <r>
    <s v="CID469"/>
    <d v="2022-09-08T00:00:00"/>
    <x v="7"/>
    <x v="0"/>
    <s v="Kanpur"/>
    <x v="1"/>
    <x v="5"/>
    <n v="17.59"/>
    <n v="59.67"/>
    <n v="3392.47"/>
    <x v="2"/>
    <s v="Compost"/>
    <n v="169.07"/>
    <n v="1148.25"/>
    <s v="Sandy"/>
    <n v="23.5"/>
    <x v="140"/>
    <n v="1372.8860201129073"/>
    <n v="8.1202225120536315"/>
    <x v="0"/>
    <x v="11"/>
    <x v="5"/>
    <x v="1"/>
    <x v="0"/>
  </r>
  <r>
    <s v="CID470"/>
    <d v="2019-03-17T00:00:00"/>
    <x v="3"/>
    <x v="2"/>
    <s v="Nagpur"/>
    <x v="2"/>
    <x v="5"/>
    <n v="29.59"/>
    <n v="171.14"/>
    <n v="5783.85"/>
    <x v="1"/>
    <s v="NPK"/>
    <n v="219.62"/>
    <n v="1161.76"/>
    <s v="Black"/>
    <n v="21.46"/>
    <x v="90"/>
    <n v="2340.6446652232858"/>
    <n v="10.657702692028439"/>
    <x v="2"/>
    <x v="13"/>
    <x v="5"/>
    <x v="4"/>
    <x v="0"/>
  </r>
  <r>
    <s v="CID471"/>
    <d v="2019-05-18T00:00:00"/>
    <x v="12"/>
    <x v="4"/>
    <s v="Howrah"/>
    <x v="0"/>
    <x v="0"/>
    <n v="34.159999999999997"/>
    <n v="88.9"/>
    <n v="2602.5300000000002"/>
    <x v="0"/>
    <s v="DAP"/>
    <n v="113.84"/>
    <n v="784.18"/>
    <s v="Laterite"/>
    <n v="31.6"/>
    <x v="51"/>
    <n v="1053.208150381417"/>
    <n v="9.2516527616076676"/>
    <x v="4"/>
    <x v="16"/>
    <x v="0"/>
    <x v="2"/>
    <x v="0"/>
  </r>
  <r>
    <s v="CID472"/>
    <d v="2019-06-04T00:00:00"/>
    <x v="12"/>
    <x v="0"/>
    <s v="Varanasi"/>
    <x v="1"/>
    <x v="1"/>
    <n v="34.4"/>
    <n v="176.87"/>
    <n v="5141.67"/>
    <x v="3"/>
    <s v="Compost"/>
    <n v="128.32"/>
    <n v="210.58"/>
    <s v="Black"/>
    <n v="32.479999999999997"/>
    <x v="141"/>
    <n v="2080.7632382995084"/>
    <n v="16.215424238618365"/>
    <x v="0"/>
    <x v="6"/>
    <x v="1"/>
    <x v="1"/>
    <x v="0"/>
  </r>
  <r>
    <s v="CID473"/>
    <d v="2011-05-09T00:00:00"/>
    <x v="5"/>
    <x v="1"/>
    <s v="Patiala"/>
    <x v="0"/>
    <x v="3"/>
    <n v="35.799999999999997"/>
    <n v="191.58"/>
    <n v="5351.5"/>
    <x v="2"/>
    <s v="DAP"/>
    <n v="98.27"/>
    <n v="223.7"/>
    <s v="Black"/>
    <n v="20.85"/>
    <x v="8"/>
    <n v="2165.6785576981447"/>
    <n v="22.038043733572248"/>
    <x v="1"/>
    <x v="10"/>
    <x v="3"/>
    <x v="2"/>
    <x v="1"/>
  </r>
  <r>
    <s v="CID474"/>
    <d v="2011-04-12T00:00:00"/>
    <x v="5"/>
    <x v="5"/>
    <s v="Bhagalpur"/>
    <x v="0"/>
    <x v="5"/>
    <n v="9.5500000000000007"/>
    <n v="44.2"/>
    <n v="4628.1099999999997"/>
    <x v="1"/>
    <s v="Urea"/>
    <n v="214.1"/>
    <n v="1099.9000000000001"/>
    <s v="Sandy"/>
    <n v="32.049999999999997"/>
    <x v="62"/>
    <n v="1872.9325590336091"/>
    <n v="8.7479334845100851"/>
    <x v="5"/>
    <x v="15"/>
    <x v="5"/>
    <x v="0"/>
    <x v="0"/>
  </r>
  <r>
    <s v="CID475"/>
    <d v="2015-01-22T00:00:00"/>
    <x v="9"/>
    <x v="0"/>
    <s v="Lucknow"/>
    <x v="2"/>
    <x v="3"/>
    <n v="66.39"/>
    <n v="96.55"/>
    <n v="1454.29"/>
    <x v="1"/>
    <s v="NPK"/>
    <n v="280.67"/>
    <n v="476.38"/>
    <s v="Laterite"/>
    <n v="30.38"/>
    <x v="96"/>
    <n v="588.53119119402686"/>
    <n v="2.0968795781309968"/>
    <x v="0"/>
    <x v="0"/>
    <x v="3"/>
    <x v="4"/>
    <x v="1"/>
  </r>
  <r>
    <s v="CID476"/>
    <d v="2014-07-22T00:00:00"/>
    <x v="9"/>
    <x v="6"/>
    <s v="Gurgaon"/>
    <x v="1"/>
    <x v="3"/>
    <n v="39.47"/>
    <n v="275.33"/>
    <n v="6975.75"/>
    <x v="2"/>
    <s v="Vermicompost"/>
    <n v="288.89999999999998"/>
    <n v="464.66"/>
    <s v="Laterite"/>
    <n v="21.04"/>
    <x v="142"/>
    <n v="2822.9902268266528"/>
    <n v="9.7715134192684427"/>
    <x v="6"/>
    <x v="17"/>
    <x v="3"/>
    <x v="3"/>
    <x v="1"/>
  </r>
  <r>
    <s v="CID477"/>
    <d v="2020-11-27T00:00:00"/>
    <x v="11"/>
    <x v="3"/>
    <s v="Bangalore"/>
    <x v="2"/>
    <x v="5"/>
    <n v="15.24"/>
    <n v="85.53"/>
    <n v="5612.24"/>
    <x v="3"/>
    <s v="Urea"/>
    <n v="203.49"/>
    <n v="306.25"/>
    <s v="Laterite"/>
    <n v="30.73"/>
    <x v="98"/>
    <n v="2271.1964549483014"/>
    <n v="11.16121900313677"/>
    <x v="3"/>
    <x v="3"/>
    <x v="5"/>
    <x v="0"/>
    <x v="0"/>
  </r>
  <r>
    <s v="CID478"/>
    <d v="2019-04-18T00:00:00"/>
    <x v="12"/>
    <x v="1"/>
    <s v="Ludhiana"/>
    <x v="0"/>
    <x v="0"/>
    <n v="77.95"/>
    <n v="86.73"/>
    <n v="1112.5899999999999"/>
    <x v="1"/>
    <s v="DAP"/>
    <n v="87.21"/>
    <n v="840.34"/>
    <s v="Black"/>
    <n v="29.97"/>
    <x v="38"/>
    <n v="450.24989376985491"/>
    <n v="5.1628241459678357"/>
    <x v="1"/>
    <x v="1"/>
    <x v="0"/>
    <x v="2"/>
    <x v="0"/>
  </r>
  <r>
    <s v="CID479"/>
    <d v="2016-04-01T00:00:00"/>
    <x v="4"/>
    <x v="0"/>
    <s v="Kanpur"/>
    <x v="0"/>
    <x v="5"/>
    <n v="52.02"/>
    <n v="345.39"/>
    <n v="6639.47"/>
    <x v="1"/>
    <s v="Compost"/>
    <n v="169.53"/>
    <n v="603.91"/>
    <s v="Black"/>
    <n v="28.1"/>
    <x v="99"/>
    <n v="2686.9023289694665"/>
    <n v="15.849125989320276"/>
    <x v="0"/>
    <x v="11"/>
    <x v="5"/>
    <x v="1"/>
    <x v="0"/>
  </r>
  <r>
    <s v="CID480"/>
    <d v="2011-05-25T00:00:00"/>
    <x v="5"/>
    <x v="0"/>
    <s v="Kanpur"/>
    <x v="0"/>
    <x v="1"/>
    <n v="93.57"/>
    <n v="295.07"/>
    <n v="3153.51"/>
    <x v="2"/>
    <s v="NPK"/>
    <n v="150.15"/>
    <n v="832.27"/>
    <s v="Black"/>
    <n v="25.48"/>
    <x v="8"/>
    <n v="1276.1821897573907"/>
    <n v="8.4993818831661052"/>
    <x v="0"/>
    <x v="11"/>
    <x v="1"/>
    <x v="4"/>
    <x v="0"/>
  </r>
  <r>
    <s v="CID481"/>
    <d v="2023-01-31T00:00:00"/>
    <x v="7"/>
    <x v="1"/>
    <s v="Amritsar"/>
    <x v="2"/>
    <x v="2"/>
    <n v="21.11"/>
    <n v="91.34"/>
    <n v="4326.8500000000004"/>
    <x v="1"/>
    <s v="Compost"/>
    <n v="215.18"/>
    <n v="498.87"/>
    <s v="Laterite"/>
    <n v="33.450000000000003"/>
    <x v="60"/>
    <n v="1751.0167742457661"/>
    <n v="8.1374513163201314"/>
    <x v="1"/>
    <x v="14"/>
    <x v="2"/>
    <x v="1"/>
    <x v="1"/>
  </r>
  <r>
    <s v="CID482"/>
    <d v="2017-05-02T00:00:00"/>
    <x v="6"/>
    <x v="1"/>
    <s v="Patiala"/>
    <x v="0"/>
    <x v="4"/>
    <n v="14.85"/>
    <n v="32.049999999999997"/>
    <n v="2158.56"/>
    <x v="3"/>
    <s v="Vermicompost"/>
    <n v="172.31"/>
    <n v="262.99"/>
    <s v="Sandy"/>
    <n v="29.65"/>
    <x v="121"/>
    <n v="873.53958843406645"/>
    <n v="5.069581500981176"/>
    <x v="1"/>
    <x v="10"/>
    <x v="4"/>
    <x v="3"/>
    <x v="0"/>
  </r>
  <r>
    <s v="CID483"/>
    <d v="2010-10-16T00:00:00"/>
    <x v="0"/>
    <x v="4"/>
    <s v="Howrah"/>
    <x v="1"/>
    <x v="0"/>
    <n v="6.55"/>
    <n v="37.51"/>
    <n v="5726.67"/>
    <x v="0"/>
    <s v="DAP"/>
    <n v="151.38"/>
    <n v="411.68"/>
    <s v="Sandy"/>
    <n v="26.88"/>
    <x v="143"/>
    <n v="2317.5047044778535"/>
    <n v="15.309186844218877"/>
    <x v="4"/>
    <x v="16"/>
    <x v="0"/>
    <x v="2"/>
    <x v="0"/>
  </r>
  <r>
    <s v="CID484"/>
    <d v="2013-07-04T00:00:00"/>
    <x v="1"/>
    <x v="0"/>
    <s v="Varanasi"/>
    <x v="1"/>
    <x v="5"/>
    <n v="73.81"/>
    <n v="290.32"/>
    <n v="3933.37"/>
    <x v="0"/>
    <s v="Urea"/>
    <n v="167.8"/>
    <n v="1118.02"/>
    <s v="Black"/>
    <n v="23.64"/>
    <x v="69"/>
    <n v="1591.7808219178082"/>
    <n v="9.4861789148856257"/>
    <x v="0"/>
    <x v="6"/>
    <x v="5"/>
    <x v="0"/>
    <x v="0"/>
  </r>
  <r>
    <s v="CID485"/>
    <d v="2010-12-27T00:00:00"/>
    <x v="0"/>
    <x v="6"/>
    <s v="Hisar"/>
    <x v="2"/>
    <x v="5"/>
    <n v="46.16"/>
    <n v="93.43"/>
    <n v="2024.14"/>
    <x v="0"/>
    <s v="Urea"/>
    <n v="254.45"/>
    <n v="306.33"/>
    <s v="Laterite"/>
    <n v="28.92"/>
    <x v="50"/>
    <n v="819.14166042775344"/>
    <n v="3.2192637470141618"/>
    <x v="6"/>
    <x v="20"/>
    <x v="5"/>
    <x v="0"/>
    <x v="0"/>
  </r>
  <r>
    <s v="CID486"/>
    <d v="2016-12-15T00:00:00"/>
    <x v="4"/>
    <x v="4"/>
    <s v="Kolkata"/>
    <x v="2"/>
    <x v="2"/>
    <n v="68.16"/>
    <n v="200.76"/>
    <n v="2945.41"/>
    <x v="3"/>
    <s v="NPK"/>
    <n v="130.4"/>
    <n v="1164.69"/>
    <s v="Red"/>
    <n v="31.46"/>
    <x v="4"/>
    <n v="1191.9669776006151"/>
    <n v="9.1408510552194411"/>
    <x v="4"/>
    <x v="4"/>
    <x v="2"/>
    <x v="4"/>
    <x v="1"/>
  </r>
  <r>
    <s v="CID487"/>
    <d v="2014-09-05T00:00:00"/>
    <x v="9"/>
    <x v="1"/>
    <s v="Ludhiana"/>
    <x v="1"/>
    <x v="3"/>
    <n v="17.64"/>
    <n v="56.79"/>
    <n v="3219.56"/>
    <x v="3"/>
    <s v="DAP"/>
    <n v="159.66999999999999"/>
    <n v="1125.68"/>
    <s v="Black"/>
    <n v="22"/>
    <x v="133"/>
    <n v="1302.9117176908601"/>
    <n v="8.1600282939240945"/>
    <x v="1"/>
    <x v="1"/>
    <x v="3"/>
    <x v="2"/>
    <x v="1"/>
  </r>
  <r>
    <s v="CID488"/>
    <d v="2011-07-23T00:00:00"/>
    <x v="5"/>
    <x v="1"/>
    <s v="Amritsar"/>
    <x v="1"/>
    <x v="5"/>
    <n v="18.760000000000002"/>
    <n v="28.79"/>
    <n v="1534.85"/>
    <x v="2"/>
    <s v="DAP"/>
    <n v="154.06"/>
    <n v="1007.41"/>
    <s v="Laterite"/>
    <n v="30.39"/>
    <x v="6"/>
    <n v="621.13271686125324"/>
    <n v="4.0317585152619317"/>
    <x v="1"/>
    <x v="14"/>
    <x v="5"/>
    <x v="2"/>
    <x v="0"/>
  </r>
  <r>
    <s v="CID489"/>
    <d v="2019-01-17T00:00:00"/>
    <x v="3"/>
    <x v="0"/>
    <s v="Kanpur"/>
    <x v="2"/>
    <x v="3"/>
    <n v="24.69"/>
    <n v="50.55"/>
    <n v="2047.29"/>
    <x v="0"/>
    <s v="NPK"/>
    <n v="199.07"/>
    <n v="917.2"/>
    <s v="Sandy"/>
    <n v="34.25"/>
    <x v="95"/>
    <n v="828.51014750814431"/>
    <n v="4.1619035892306444"/>
    <x v="0"/>
    <x v="11"/>
    <x v="3"/>
    <x v="4"/>
    <x v="1"/>
  </r>
  <r>
    <s v="CID490"/>
    <d v="2018-09-27T00:00:00"/>
    <x v="3"/>
    <x v="3"/>
    <s v="Bangalore"/>
    <x v="1"/>
    <x v="4"/>
    <n v="12.63"/>
    <n v="52.81"/>
    <n v="4181.1899999999996"/>
    <x v="0"/>
    <s v="DAP"/>
    <n v="204.73"/>
    <n v="1062.73"/>
    <s v="Sandy"/>
    <n v="27.61"/>
    <x v="22"/>
    <n v="1692.0701725986928"/>
    <n v="8.2648863019522931"/>
    <x v="3"/>
    <x v="3"/>
    <x v="4"/>
    <x v="2"/>
    <x v="0"/>
  </r>
  <r>
    <s v="CID491"/>
    <d v="2013-09-02T00:00:00"/>
    <x v="1"/>
    <x v="2"/>
    <s v="Nagpur"/>
    <x v="1"/>
    <x v="4"/>
    <n v="68.84"/>
    <n v="468.9"/>
    <n v="6811.44"/>
    <x v="1"/>
    <s v="NPK"/>
    <n v="174.38"/>
    <n v="359.76"/>
    <s v="Black"/>
    <n v="20.81"/>
    <x v="102"/>
    <n v="2756.4962263005605"/>
    <n v="15.807410404292698"/>
    <x v="2"/>
    <x v="13"/>
    <x v="4"/>
    <x v="4"/>
    <x v="0"/>
  </r>
  <r>
    <s v="CID492"/>
    <d v="2014-11-08T00:00:00"/>
    <x v="9"/>
    <x v="6"/>
    <s v="Faridabad"/>
    <x v="2"/>
    <x v="1"/>
    <n v="80.709999999999994"/>
    <n v="447.98"/>
    <n v="5550.45"/>
    <x v="0"/>
    <s v="Compost"/>
    <n v="76.11"/>
    <n v="252.46"/>
    <s v="Sandy"/>
    <n v="22.64"/>
    <x v="39"/>
    <n v="2246.1908905121304"/>
    <n v="29.512427939983318"/>
    <x v="6"/>
    <x v="18"/>
    <x v="1"/>
    <x v="1"/>
    <x v="0"/>
  </r>
  <r>
    <s v="CID493"/>
    <d v="2011-06-29T00:00:00"/>
    <x v="5"/>
    <x v="5"/>
    <s v="Patna"/>
    <x v="1"/>
    <x v="2"/>
    <n v="45.04"/>
    <n v="201.71"/>
    <n v="4478.57"/>
    <x v="1"/>
    <s v="NPK"/>
    <n v="99.69"/>
    <n v="876.85"/>
    <s v="Alluvial"/>
    <n v="23.45"/>
    <x v="85"/>
    <n v="1812.4157746706865"/>
    <n v="18.180517350493396"/>
    <x v="5"/>
    <x v="7"/>
    <x v="2"/>
    <x v="4"/>
    <x v="1"/>
  </r>
  <r>
    <s v="CID494"/>
    <d v="2013-04-10T00:00:00"/>
    <x v="1"/>
    <x v="6"/>
    <s v="Gurgaon"/>
    <x v="0"/>
    <x v="3"/>
    <n v="87.12"/>
    <n v="283.42"/>
    <n v="3253.19"/>
    <x v="3"/>
    <s v="DAP"/>
    <n v="68.38"/>
    <n v="785.09"/>
    <s v="Black"/>
    <n v="33.36"/>
    <x v="1"/>
    <n v="1316.5213168491127"/>
    <n v="19.253017210428677"/>
    <x v="6"/>
    <x v="17"/>
    <x v="3"/>
    <x v="2"/>
    <x v="1"/>
  </r>
  <r>
    <s v="CID495"/>
    <d v="2013-03-26T00:00:00"/>
    <x v="2"/>
    <x v="5"/>
    <s v="Gaya"/>
    <x v="2"/>
    <x v="0"/>
    <n v="14.5"/>
    <n v="77.12"/>
    <n v="5318.93"/>
    <x v="2"/>
    <s v="Urea"/>
    <n v="293.89"/>
    <n v="402.21"/>
    <s v="Red"/>
    <n v="20.48"/>
    <x v="144"/>
    <n v="2152.497925982882"/>
    <n v="7.3241618496133993"/>
    <x v="5"/>
    <x v="8"/>
    <x v="0"/>
    <x v="0"/>
    <x v="0"/>
  </r>
  <r>
    <s v="CID496"/>
    <d v="2012-03-27T00:00:00"/>
    <x v="5"/>
    <x v="2"/>
    <s v="Nagpur"/>
    <x v="2"/>
    <x v="3"/>
    <n v="42.4"/>
    <n v="235.83"/>
    <n v="5562.04"/>
    <x v="3"/>
    <s v="Vermicompost"/>
    <n v="271.60000000000002"/>
    <n v="803.64"/>
    <s v="Sandy"/>
    <n v="33.58"/>
    <x v="46"/>
    <n v="2250.8812043463304"/>
    <n v="8.2874860248392128"/>
    <x v="2"/>
    <x v="13"/>
    <x v="3"/>
    <x v="3"/>
    <x v="1"/>
  </r>
  <r>
    <s v="CID497"/>
    <d v="2012-01-03T00:00:00"/>
    <x v="5"/>
    <x v="4"/>
    <s v="Kolkata"/>
    <x v="2"/>
    <x v="1"/>
    <n v="49.43"/>
    <n v="344.72"/>
    <n v="6973.99"/>
    <x v="1"/>
    <s v="DAP"/>
    <n v="259.25"/>
    <n v="479.17"/>
    <s v="Laterite"/>
    <n v="31.04"/>
    <x v="26"/>
    <n v="2822.2779789967826"/>
    <n v="10.886318144635613"/>
    <x v="4"/>
    <x v="4"/>
    <x v="1"/>
    <x v="2"/>
    <x v="0"/>
  </r>
  <r>
    <s v="CID498"/>
    <d v="2019-10-08T00:00:00"/>
    <x v="12"/>
    <x v="2"/>
    <s v="Pune"/>
    <x v="1"/>
    <x v="1"/>
    <n v="94.68"/>
    <n v="613.77"/>
    <n v="6482.53"/>
    <x v="0"/>
    <s v="Urea"/>
    <n v="154.44"/>
    <n v="244.22"/>
    <s v="Laterite"/>
    <n v="31"/>
    <x v="79"/>
    <n v="2623.3908662309545"/>
    <n v="16.986472845318275"/>
    <x v="2"/>
    <x v="2"/>
    <x v="1"/>
    <x v="0"/>
    <x v="0"/>
  </r>
  <r>
    <s v="CID499"/>
    <d v="2016-12-04T00:00:00"/>
    <x v="4"/>
    <x v="3"/>
    <s v="Hubli"/>
    <x v="2"/>
    <x v="2"/>
    <n v="82.31"/>
    <n v="305.75"/>
    <n v="3714.65"/>
    <x v="3"/>
    <s v="NPK"/>
    <n v="70.77"/>
    <n v="953.08"/>
    <s v="Laterite"/>
    <n v="34.25"/>
    <x v="4"/>
    <n v="1503.2678416057952"/>
    <n v="21.241597309676351"/>
    <x v="3"/>
    <x v="12"/>
    <x v="2"/>
    <x v="4"/>
    <x v="1"/>
  </r>
  <r>
    <s v="CID500"/>
    <d v="2020-09-27T00:00:00"/>
    <x v="11"/>
    <x v="2"/>
    <s v="Nagpur"/>
    <x v="1"/>
    <x v="5"/>
    <n v="48.5"/>
    <n v="137.21"/>
    <n v="2829.02"/>
    <x v="1"/>
    <s v="DAP"/>
    <n v="264.48"/>
    <n v="947.29"/>
    <s v="Black"/>
    <n v="34.65"/>
    <x v="41"/>
    <n v="1144.8655429877988"/>
    <n v="4.3287414662273092"/>
    <x v="2"/>
    <x v="13"/>
    <x v="5"/>
    <x v="2"/>
    <x v="0"/>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r>
    <m/>
    <m/>
    <x v="13"/>
    <x v="7"/>
    <m/>
    <x v="3"/>
    <x v="6"/>
    <m/>
    <m/>
    <m/>
    <x v="4"/>
    <m/>
    <m/>
    <m/>
    <m/>
    <m/>
    <x v="145"/>
    <n v="0"/>
    <e v="#DIV/0!"/>
    <x v="7"/>
    <x v="21"/>
    <x v="6"/>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FDFEA0-C0B0-4DEC-9F5E-6836951BF4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0:C27" firstHeaderRow="1" firstDataRow="1" firstDataCol="1"/>
  <pivotFields count="24">
    <pivotField showAll="0"/>
    <pivotField showAll="0"/>
    <pivotField showAll="0">
      <items count="15">
        <item x="0"/>
        <item x="5"/>
        <item x="2"/>
        <item x="1"/>
        <item x="9"/>
        <item x="10"/>
        <item x="4"/>
        <item x="6"/>
        <item x="3"/>
        <item x="12"/>
        <item x="11"/>
        <item x="8"/>
        <item x="7"/>
        <item x="13"/>
        <item t="default"/>
      </items>
    </pivotField>
    <pivotField showAll="0">
      <items count="9">
        <item h="1" x="5"/>
        <item h="1" x="6"/>
        <item h="1" x="3"/>
        <item h="1" x="2"/>
        <item x="1"/>
        <item h="1" x="0"/>
        <item h="1" x="4"/>
        <item h="1" x="7"/>
        <item t="default"/>
      </items>
    </pivotField>
    <pivotField showAll="0"/>
    <pivotField showAll="0">
      <items count="5">
        <item x="1"/>
        <item x="2"/>
        <item x="0"/>
        <item x="3"/>
        <item t="default"/>
      </items>
    </pivotField>
    <pivotField showAll="0">
      <items count="8">
        <item x="2"/>
        <item x="0"/>
        <item x="1"/>
        <item x="4"/>
        <item x="3"/>
        <item x="5"/>
        <item x="6"/>
        <item t="default"/>
      </items>
    </pivotField>
    <pivotField showAll="0"/>
    <pivotField dataField="1" showAll="0"/>
    <pivotField showAll="0"/>
    <pivotField showAll="0">
      <items count="6">
        <item x="3"/>
        <item x="0"/>
        <item x="1"/>
        <item x="2"/>
        <item x="4"/>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6"/>
        <item x="2"/>
        <item x="0"/>
        <item x="1"/>
        <item x="4"/>
        <item x="3"/>
        <item x="5"/>
        <item t="default"/>
      </items>
    </pivotField>
    <pivotField showAll="0"/>
    <pivotField showAll="0"/>
  </pivotFields>
  <rowFields count="1">
    <field x="21"/>
  </rowFields>
  <rowItems count="7">
    <i>
      <x v="1"/>
    </i>
    <i>
      <x v="2"/>
    </i>
    <i>
      <x v="3"/>
    </i>
    <i>
      <x v="4"/>
    </i>
    <i>
      <x v="5"/>
    </i>
    <i>
      <x v="6"/>
    </i>
    <i t="grand">
      <x/>
    </i>
  </rowItems>
  <colItems count="1">
    <i/>
  </colItems>
  <dataFields count="1">
    <dataField name="Total Production" fld="8" baseField="21"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3A1201-8505-4239-833E-ACF2CB050B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 firstHeaderRow="1" firstDataRow="1" firstDataCol="1"/>
  <pivotFields count="24">
    <pivotField showAll="0"/>
    <pivotField showAll="0"/>
    <pivotField showAll="0">
      <items count="15">
        <item x="0"/>
        <item x="5"/>
        <item x="2"/>
        <item x="1"/>
        <item x="9"/>
        <item x="10"/>
        <item x="4"/>
        <item x="6"/>
        <item x="3"/>
        <item x="12"/>
        <item x="11"/>
        <item x="8"/>
        <item x="7"/>
        <item x="13"/>
        <item t="default"/>
      </items>
    </pivotField>
    <pivotField showAll="0">
      <items count="9">
        <item h="1" x="5"/>
        <item h="1" x="6"/>
        <item h="1" x="3"/>
        <item h="1" x="2"/>
        <item x="1"/>
        <item h="1" x="0"/>
        <item h="1" x="4"/>
        <item h="1" x="7"/>
        <item t="default"/>
      </items>
    </pivotField>
    <pivotField showAll="0"/>
    <pivotField showAll="0">
      <items count="5">
        <item x="1"/>
        <item x="2"/>
        <item x="0"/>
        <item x="3"/>
        <item t="default"/>
      </items>
    </pivotField>
    <pivotField showAll="0">
      <items count="8">
        <item x="2"/>
        <item x="0"/>
        <item x="1"/>
        <item x="4"/>
        <item x="3"/>
        <item x="5"/>
        <item x="6"/>
        <item t="default"/>
      </items>
    </pivotField>
    <pivotField showAll="0"/>
    <pivotField dataField="1" showAll="0"/>
    <pivotField showAll="0"/>
    <pivotField showAll="0">
      <items count="6">
        <item x="3"/>
        <item x="0"/>
        <item x="1"/>
        <item x="2"/>
        <item x="4"/>
        <item t="default"/>
      </items>
    </pivotField>
    <pivotField showAll="0"/>
    <pivotField showAll="0"/>
    <pivotField showAll="0"/>
    <pivotField showAll="0"/>
    <pivotField showAll="0"/>
    <pivotField showAll="0"/>
    <pivotField showAll="0"/>
    <pivotField showAll="0"/>
    <pivotField axis="axisRow" showAll="0">
      <items count="9">
        <item x="7"/>
        <item x="5"/>
        <item x="6"/>
        <item x="3"/>
        <item x="2"/>
        <item x="1"/>
        <item x="0"/>
        <item x="4"/>
        <item t="default"/>
      </items>
    </pivotField>
    <pivotField showAll="0"/>
    <pivotField showAll="0"/>
    <pivotField showAll="0"/>
    <pivotField showAll="0"/>
  </pivotFields>
  <rowFields count="1">
    <field x="19"/>
  </rowFields>
  <rowItems count="2">
    <i>
      <x v="5"/>
    </i>
    <i t="grand">
      <x/>
    </i>
  </rowItems>
  <colItems count="1">
    <i/>
  </colItems>
  <dataFields count="1">
    <dataField name="Total Production(Tonnes)" fld="8" baseField="19"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9" count="1" selected="0">
            <x v="5"/>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E379A1-4FEA-4A26-8C5C-3F5DBE6F800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8:C98" firstHeaderRow="1" firstDataRow="1" firstDataCol="1"/>
  <pivotFields count="24">
    <pivotField showAll="0"/>
    <pivotField showAll="0"/>
    <pivotField showAll="0">
      <items count="15">
        <item x="0"/>
        <item x="5"/>
        <item x="2"/>
        <item x="1"/>
        <item x="9"/>
        <item x="10"/>
        <item x="4"/>
        <item x="6"/>
        <item x="3"/>
        <item x="12"/>
        <item x="11"/>
        <item x="8"/>
        <item x="7"/>
        <item x="13"/>
        <item t="default"/>
      </items>
    </pivotField>
    <pivotField showAll="0">
      <items count="9">
        <item h="1" x="5"/>
        <item h="1" x="6"/>
        <item h="1" x="3"/>
        <item h="1" x="2"/>
        <item x="1"/>
        <item h="1" x="0"/>
        <item h="1" x="4"/>
        <item h="1" x="7"/>
        <item t="default"/>
      </items>
    </pivotField>
    <pivotField showAll="0"/>
    <pivotField showAll="0">
      <items count="5">
        <item x="1"/>
        <item x="2"/>
        <item x="0"/>
        <item x="3"/>
        <item t="default"/>
      </items>
    </pivotField>
    <pivotField showAll="0">
      <items count="8">
        <item x="2"/>
        <item x="0"/>
        <item x="1"/>
        <item x="4"/>
        <item x="3"/>
        <item x="5"/>
        <item x="6"/>
        <item t="default"/>
      </items>
    </pivotField>
    <pivotField showAll="0"/>
    <pivotField dataField="1" showAll="0"/>
    <pivotField showAll="0"/>
    <pivotField showAll="0">
      <items count="6">
        <item x="3"/>
        <item x="0"/>
        <item x="1"/>
        <item x="2"/>
        <item x="4"/>
        <item t="default"/>
      </items>
    </pivotField>
    <pivotField showAll="0"/>
    <pivotField showAll="0"/>
    <pivotField showAll="0"/>
    <pivotField showAll="0"/>
    <pivotField showAll="0"/>
    <pivotField axis="axisRow" showAll="0">
      <items count="147">
        <item n="1900" h="1" x="145"/>
        <item x="0"/>
        <item x="61"/>
        <item x="126"/>
        <item x="82"/>
        <item x="21"/>
        <item x="143"/>
        <item x="80"/>
        <item x="50"/>
        <item x="94"/>
        <item x="100"/>
        <item x="88"/>
        <item x="62"/>
        <item x="8"/>
        <item x="85"/>
        <item x="6"/>
        <item x="89"/>
        <item x="114"/>
        <item x="64"/>
        <item x="73"/>
        <item x="104"/>
        <item x="26"/>
        <item x="46"/>
        <item x="101"/>
        <item x="7"/>
        <item x="87"/>
        <item x="109"/>
        <item x="119"/>
        <item x="2"/>
        <item x="5"/>
        <item x="113"/>
        <item x="20"/>
        <item x="15"/>
        <item x="144"/>
        <item x="1"/>
        <item x="67"/>
        <item x="111"/>
        <item x="69"/>
        <item x="117"/>
        <item x="102"/>
        <item x="32"/>
        <item x="127"/>
        <item x="112"/>
        <item x="44"/>
        <item x="35"/>
        <item x="37"/>
        <item x="31"/>
        <item x="58"/>
        <item x="65"/>
        <item x="142"/>
        <item x="68"/>
        <item x="133"/>
        <item x="122"/>
        <item x="39"/>
        <item x="18"/>
        <item x="96"/>
        <item x="129"/>
        <item x="48"/>
        <item x="93"/>
        <item x="84"/>
        <item x="134"/>
        <item x="23"/>
        <item x="75"/>
        <item x="19"/>
        <item x="120"/>
        <item x="137"/>
        <item x="136"/>
        <item x="107"/>
        <item x="105"/>
        <item x="99"/>
        <item x="30"/>
        <item x="128"/>
        <item x="118"/>
        <item x="123"/>
        <item x="14"/>
        <item x="110"/>
        <item x="4"/>
        <item x="76"/>
        <item x="27"/>
        <item x="17"/>
        <item x="121"/>
        <item x="10"/>
        <item x="25"/>
        <item x="57"/>
        <item x="103"/>
        <item x="131"/>
        <item x="54"/>
        <item x="97"/>
        <item x="83"/>
        <item x="108"/>
        <item x="47"/>
        <item x="59"/>
        <item x="92"/>
        <item x="132"/>
        <item x="13"/>
        <item x="63"/>
        <item x="22"/>
        <item x="9"/>
        <item x="3"/>
        <item x="29"/>
        <item x="95"/>
        <item x="130"/>
        <item x="90"/>
        <item x="38"/>
        <item x="51"/>
        <item x="141"/>
        <item x="49"/>
        <item x="139"/>
        <item x="77"/>
        <item x="79"/>
        <item x="52"/>
        <item x="53"/>
        <item x="78"/>
        <item x="86"/>
        <item x="56"/>
        <item x="28"/>
        <item x="81"/>
        <item x="138"/>
        <item x="66"/>
        <item x="41"/>
        <item x="98"/>
        <item x="43"/>
        <item x="42"/>
        <item x="34"/>
        <item x="16"/>
        <item x="91"/>
        <item x="12"/>
        <item x="40"/>
        <item x="135"/>
        <item x="116"/>
        <item x="36"/>
        <item x="74"/>
        <item x="71"/>
        <item x="55"/>
        <item x="45"/>
        <item x="72"/>
        <item x="11"/>
        <item x="24"/>
        <item x="70"/>
        <item x="125"/>
        <item x="140"/>
        <item x="106"/>
        <item x="115"/>
        <item x="60"/>
        <item x="124"/>
        <item x="33"/>
        <item t="default"/>
      </items>
    </pivotField>
    <pivotField showAll="0"/>
    <pivotField showAll="0"/>
    <pivotField showAll="0"/>
    <pivotField showAll="0"/>
    <pivotField showAll="0"/>
    <pivotField showAll="0"/>
    <pivotField showAll="0"/>
  </pivotFields>
  <rowFields count="1">
    <field x="16"/>
  </rowFields>
  <rowItems count="60">
    <i>
      <x v="8"/>
    </i>
    <i>
      <x v="10"/>
    </i>
    <i>
      <x v="13"/>
    </i>
    <i>
      <x v="14"/>
    </i>
    <i>
      <x v="15"/>
    </i>
    <i>
      <x v="17"/>
    </i>
    <i>
      <x v="18"/>
    </i>
    <i>
      <x v="20"/>
    </i>
    <i>
      <x v="21"/>
    </i>
    <i>
      <x v="22"/>
    </i>
    <i>
      <x v="23"/>
    </i>
    <i>
      <x v="26"/>
    </i>
    <i>
      <x v="32"/>
    </i>
    <i>
      <x v="34"/>
    </i>
    <i>
      <x v="35"/>
    </i>
    <i>
      <x v="36"/>
    </i>
    <i>
      <x v="38"/>
    </i>
    <i>
      <x v="39"/>
    </i>
    <i>
      <x v="42"/>
    </i>
    <i>
      <x v="43"/>
    </i>
    <i>
      <x v="46"/>
    </i>
    <i>
      <x v="47"/>
    </i>
    <i>
      <x v="51"/>
    </i>
    <i>
      <x v="56"/>
    </i>
    <i>
      <x v="59"/>
    </i>
    <i>
      <x v="61"/>
    </i>
    <i>
      <x v="68"/>
    </i>
    <i>
      <x v="69"/>
    </i>
    <i>
      <x v="77"/>
    </i>
    <i>
      <x v="78"/>
    </i>
    <i>
      <x v="79"/>
    </i>
    <i>
      <x v="80"/>
    </i>
    <i>
      <x v="81"/>
    </i>
    <i>
      <x v="89"/>
    </i>
    <i>
      <x v="91"/>
    </i>
    <i>
      <x v="92"/>
    </i>
    <i>
      <x v="94"/>
    </i>
    <i>
      <x v="95"/>
    </i>
    <i>
      <x v="97"/>
    </i>
    <i>
      <x v="103"/>
    </i>
    <i>
      <x v="104"/>
    </i>
    <i>
      <x v="107"/>
    </i>
    <i>
      <x v="108"/>
    </i>
    <i>
      <x v="109"/>
    </i>
    <i>
      <x v="113"/>
    </i>
    <i>
      <x v="114"/>
    </i>
    <i>
      <x v="115"/>
    </i>
    <i>
      <x v="119"/>
    </i>
    <i>
      <x v="121"/>
    </i>
    <i>
      <x v="122"/>
    </i>
    <i>
      <x v="123"/>
    </i>
    <i>
      <x v="124"/>
    </i>
    <i>
      <x v="125"/>
    </i>
    <i>
      <x v="131"/>
    </i>
    <i>
      <x v="132"/>
    </i>
    <i>
      <x v="133"/>
    </i>
    <i>
      <x v="135"/>
    </i>
    <i>
      <x v="137"/>
    </i>
    <i>
      <x v="143"/>
    </i>
    <i t="grand">
      <x/>
    </i>
  </rowItems>
  <colItems count="1">
    <i/>
  </colItems>
  <dataFields count="1">
    <dataField name="Total Production" fld="8" baseField="16" baseItem="1"/>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932102-E415-43BC-9BB6-408BBA1AFF8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0:E14" firstHeaderRow="1" firstDataRow="1" firstDataCol="1"/>
  <pivotFields count="24">
    <pivotField showAll="0"/>
    <pivotField showAll="0"/>
    <pivotField showAll="0">
      <items count="15">
        <item x="0"/>
        <item x="5"/>
        <item x="2"/>
        <item x="1"/>
        <item x="9"/>
        <item x="10"/>
        <item x="4"/>
        <item x="6"/>
        <item x="3"/>
        <item x="12"/>
        <item x="11"/>
        <item x="8"/>
        <item x="7"/>
        <item x="13"/>
        <item t="default"/>
      </items>
    </pivotField>
    <pivotField showAll="0">
      <items count="9">
        <item h="1" x="5"/>
        <item h="1" x="6"/>
        <item h="1" x="3"/>
        <item h="1" x="2"/>
        <item x="1"/>
        <item h="1" x="0"/>
        <item h="1" x="4"/>
        <item h="1" x="7"/>
        <item t="default"/>
      </items>
    </pivotField>
    <pivotField showAll="0"/>
    <pivotField showAll="0">
      <items count="5">
        <item x="1"/>
        <item x="2"/>
        <item x="0"/>
        <item x="3"/>
        <item t="default"/>
      </items>
    </pivotField>
    <pivotField showAll="0">
      <items count="8">
        <item x="2"/>
        <item x="0"/>
        <item x="1"/>
        <item x="4"/>
        <item x="3"/>
        <item x="5"/>
        <item x="6"/>
        <item t="default"/>
      </items>
    </pivotField>
    <pivotField showAll="0"/>
    <pivotField showAll="0"/>
    <pivotField showAll="0"/>
    <pivotField showAll="0">
      <items count="6">
        <item x="3"/>
        <item x="0"/>
        <item x="1"/>
        <item x="2"/>
        <item x="4"/>
        <item t="default"/>
      </items>
    </pivotField>
    <pivotField showAll="0"/>
    <pivotField dataField="1" showAll="0"/>
    <pivotField showAll="0"/>
    <pivotField showAll="0"/>
    <pivotField showAll="0"/>
    <pivotField showAll="0"/>
    <pivotField showAll="0"/>
    <pivotField showAll="0"/>
    <pivotField showAll="0"/>
    <pivotField axis="axisRow" showAll="0" sortType="descending">
      <items count="23">
        <item x="21"/>
        <item x="14"/>
        <item x="3"/>
        <item x="15"/>
        <item x="9"/>
        <item x="18"/>
        <item x="8"/>
        <item x="17"/>
        <item x="20"/>
        <item x="16"/>
        <item x="12"/>
        <item x="11"/>
        <item x="4"/>
        <item x="0"/>
        <item x="1"/>
        <item x="19"/>
        <item x="5"/>
        <item x="13"/>
        <item x="10"/>
        <item x="7"/>
        <item x="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0"/>
  </rowFields>
  <rowItems count="4">
    <i>
      <x v="18"/>
    </i>
    <i>
      <x v="1"/>
    </i>
    <i>
      <x v="14"/>
    </i>
    <i t="grand">
      <x/>
    </i>
  </rowItems>
  <colItems count="1">
    <i/>
  </colItems>
  <dataFields count="1">
    <dataField name="Avg Fertilizer" fld="12" subtotal="average" baseField="2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3CCF62-3344-4C1D-B16A-B67EEECAB3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6" firstHeaderRow="1" firstDataRow="1" firstDataCol="1"/>
  <pivotFields count="24">
    <pivotField showAll="0"/>
    <pivotField showAll="0"/>
    <pivotField showAll="0">
      <items count="15">
        <item x="0"/>
        <item x="5"/>
        <item x="2"/>
        <item x="1"/>
        <item x="9"/>
        <item x="10"/>
        <item x="4"/>
        <item x="6"/>
        <item x="3"/>
        <item x="12"/>
        <item x="11"/>
        <item x="8"/>
        <item x="7"/>
        <item x="13"/>
        <item t="default"/>
      </items>
    </pivotField>
    <pivotField showAll="0">
      <items count="9">
        <item h="1" x="5"/>
        <item h="1" x="6"/>
        <item h="1" x="3"/>
        <item h="1" x="2"/>
        <item x="1"/>
        <item h="1" x="0"/>
        <item h="1" x="4"/>
        <item h="1" x="7"/>
        <item t="default"/>
      </items>
    </pivotField>
    <pivotField showAll="0"/>
    <pivotField showAll="0">
      <items count="5">
        <item x="1"/>
        <item x="2"/>
        <item x="0"/>
        <item x="3"/>
        <item t="default"/>
      </items>
    </pivotField>
    <pivotField showAll="0">
      <items count="8">
        <item x="2"/>
        <item x="0"/>
        <item x="1"/>
        <item x="4"/>
        <item x="3"/>
        <item x="5"/>
        <item x="6"/>
        <item t="default"/>
      </items>
    </pivotField>
    <pivotField showAll="0"/>
    <pivotField dataField="1" showAll="0"/>
    <pivotField showAll="0"/>
    <pivotField showAll="0">
      <items count="6">
        <item x="3"/>
        <item x="0"/>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3"/>
  </rowFields>
  <rowItems count="3">
    <i>
      <x/>
    </i>
    <i>
      <x v="1"/>
    </i>
    <i t="grand">
      <x/>
    </i>
  </rowItems>
  <colItems count="1">
    <i/>
  </colItems>
  <dataFields count="1">
    <dataField name="Total Production" fld="8" baseField="23" baseItem="0"/>
  </dataField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3" count="1" selected="0">
            <x v="0"/>
          </reference>
        </references>
      </pivotArea>
    </chartFormat>
    <chartFormat chart="2" format="6">
      <pivotArea type="data" outline="0" fieldPosition="0">
        <references count="2">
          <reference field="4294967294" count="1" selected="0">
            <x v="0"/>
          </reference>
          <reference field="23" count="1" selected="0">
            <x v="1"/>
          </reference>
        </references>
      </pivotArea>
    </chartFormat>
    <chartFormat chart="0" format="1">
      <pivotArea type="data" outline="0" fieldPosition="0">
        <references count="2">
          <reference field="4294967294" count="1" selected="0">
            <x v="0"/>
          </reference>
          <reference field="23" count="1" selected="0">
            <x v="0"/>
          </reference>
        </references>
      </pivotArea>
    </chartFormat>
    <chartFormat chart="0" format="2">
      <pivotArea type="data" outline="0" fieldPosition="0">
        <references count="2">
          <reference field="4294967294" count="1" selected="0">
            <x v="0"/>
          </reference>
          <reference field="23"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23" count="1" selected="0">
            <x v="0"/>
          </reference>
        </references>
      </pivotArea>
    </chartFormat>
    <chartFormat chart="13" format="12">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981937-07C4-4F6D-B97F-0BA71232487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0:D16" firstHeaderRow="1" firstDataRow="1" firstDataCol="1"/>
  <pivotFields count="24">
    <pivotField showAll="0"/>
    <pivotField showAll="0"/>
    <pivotField showAll="0">
      <items count="15">
        <item x="0"/>
        <item x="5"/>
        <item x="2"/>
        <item x="1"/>
        <item x="9"/>
        <item x="10"/>
        <item x="4"/>
        <item x="6"/>
        <item x="3"/>
        <item x="12"/>
        <item x="11"/>
        <item x="8"/>
        <item x="7"/>
        <item x="13"/>
        <item t="default"/>
      </items>
    </pivotField>
    <pivotField showAll="0">
      <items count="9">
        <item h="1" x="5"/>
        <item h="1" x="6"/>
        <item h="1" x="3"/>
        <item h="1" x="2"/>
        <item x="1"/>
        <item h="1" x="0"/>
        <item h="1" x="4"/>
        <item h="1" x="7"/>
        <item t="default"/>
      </items>
    </pivotField>
    <pivotField showAll="0"/>
    <pivotField showAll="0">
      <items count="5">
        <item x="1"/>
        <item x="2"/>
        <item x="0"/>
        <item x="3"/>
        <item t="default"/>
      </items>
    </pivotField>
    <pivotField showAll="0">
      <items count="8">
        <item x="2"/>
        <item x="0"/>
        <item x="1"/>
        <item x="4"/>
        <item x="3"/>
        <item x="5"/>
        <item x="6"/>
        <item t="default"/>
      </items>
    </pivotField>
    <pivotField showAll="0"/>
    <pivotField showAll="0"/>
    <pivotField showAll="0"/>
    <pivotField showAll="0">
      <items count="6">
        <item x="3"/>
        <item x="0"/>
        <item x="1"/>
        <item x="2"/>
        <item x="4"/>
        <item t="default"/>
      </items>
    </pivotField>
    <pivotField showAll="0"/>
    <pivotField showAll="0"/>
    <pivotField showAll="0"/>
    <pivotField showAll="0"/>
    <pivotField showAll="0"/>
    <pivotField showAll="0"/>
    <pivotField dataField="1" showAll="0"/>
    <pivotField showAll="0"/>
    <pivotField showAll="0"/>
    <pivotField showAll="0"/>
    <pivotField showAll="0">
      <items count="8">
        <item x="6"/>
        <item x="2"/>
        <item x="0"/>
        <item x="1"/>
        <item x="4"/>
        <item x="3"/>
        <item x="5"/>
        <item t="default"/>
      </items>
    </pivotField>
    <pivotField axis="axisRow" showAll="0">
      <items count="7">
        <item h="1" x="5"/>
        <item x="1"/>
        <item x="2"/>
        <item x="4"/>
        <item x="0"/>
        <item x="3"/>
        <item t="default"/>
      </items>
    </pivotField>
    <pivotField showAll="0"/>
  </pivotFields>
  <rowFields count="1">
    <field x="22"/>
  </rowFields>
  <rowItems count="6">
    <i>
      <x v="1"/>
    </i>
    <i>
      <x v="2"/>
    </i>
    <i>
      <x v="3"/>
    </i>
    <i>
      <x v="4"/>
    </i>
    <i>
      <x v="5"/>
    </i>
    <i t="grand">
      <x/>
    </i>
  </rowItems>
  <colItems count="1">
    <i/>
  </colItems>
  <dataFields count="1">
    <dataField name="Average of Yield per Acre" fld="17" subtotal="average" baseField="22"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B35BCD-0796-48B4-96C4-4CA9244B18D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C14" firstHeaderRow="1" firstDataRow="1" firstDataCol="1"/>
  <pivotFields count="24">
    <pivotField showAll="0"/>
    <pivotField showAll="0"/>
    <pivotField showAll="0">
      <items count="15">
        <item x="0"/>
        <item x="5"/>
        <item x="2"/>
        <item x="1"/>
        <item x="9"/>
        <item x="10"/>
        <item x="4"/>
        <item x="6"/>
        <item x="3"/>
        <item x="12"/>
        <item x="11"/>
        <item x="8"/>
        <item x="7"/>
        <item x="13"/>
        <item t="default"/>
      </items>
    </pivotField>
    <pivotField showAll="0">
      <items count="9">
        <item h="1" x="5"/>
        <item h="1" x="6"/>
        <item h="1" x="3"/>
        <item h="1" x="2"/>
        <item x="1"/>
        <item h="1" x="0"/>
        <item h="1" x="4"/>
        <item h="1" x="7"/>
        <item t="default"/>
      </items>
    </pivotField>
    <pivotField showAll="0"/>
    <pivotField showAll="0">
      <items count="5">
        <item x="1"/>
        <item x="2"/>
        <item x="0"/>
        <item x="3"/>
        <item t="default"/>
      </items>
    </pivotField>
    <pivotField showAll="0">
      <items count="8">
        <item x="2"/>
        <item x="0"/>
        <item x="1"/>
        <item x="4"/>
        <item x="3"/>
        <item x="5"/>
        <item x="6"/>
        <item t="default"/>
      </items>
    </pivotField>
    <pivotField showAll="0"/>
    <pivotField showAll="0"/>
    <pivotField showAll="0"/>
    <pivotField showAll="0">
      <items count="6">
        <item x="3"/>
        <item x="0"/>
        <item x="1"/>
        <item x="2"/>
        <item x="4"/>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8">
        <item h="1" x="6"/>
        <item x="2"/>
        <item x="0"/>
        <item x="1"/>
        <item x="4"/>
        <item x="3"/>
        <item x="5"/>
        <item t="default"/>
      </items>
    </pivotField>
    <pivotField showAll="0"/>
    <pivotField showAll="0"/>
  </pivotFields>
  <rowFields count="1">
    <field x="21"/>
  </rowFields>
  <rowItems count="7">
    <i>
      <x v="1"/>
    </i>
    <i>
      <x v="2"/>
    </i>
    <i>
      <x v="3"/>
    </i>
    <i>
      <x v="4"/>
    </i>
    <i>
      <x v="5"/>
    </i>
    <i>
      <x v="6"/>
    </i>
    <i t="grand">
      <x/>
    </i>
  </rowItems>
  <colItems count="1">
    <i/>
  </colItems>
  <dataFields count="1">
    <dataField name="Average of Yield per Acre" fld="17" subtotal="average" baseField="21"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949CB1-0CDD-4D96-AF2B-57483C6C717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0:E15" firstHeaderRow="1" firstDataRow="1" firstDataCol="1"/>
  <pivotFields count="24">
    <pivotField showAll="0"/>
    <pivotField showAll="0"/>
    <pivotField showAll="0">
      <items count="15">
        <item x="0"/>
        <item x="5"/>
        <item x="2"/>
        <item x="1"/>
        <item x="9"/>
        <item x="10"/>
        <item x="4"/>
        <item x="6"/>
        <item x="3"/>
        <item x="12"/>
        <item x="11"/>
        <item x="8"/>
        <item x="7"/>
        <item x="13"/>
        <item t="default"/>
      </items>
    </pivotField>
    <pivotField showAll="0">
      <items count="9">
        <item h="1" x="5"/>
        <item h="1" x="6"/>
        <item h="1" x="3"/>
        <item h="1" x="2"/>
        <item x="1"/>
        <item h="1" x="0"/>
        <item h="1" x="4"/>
        <item h="1" x="7"/>
        <item t="default"/>
      </items>
    </pivotField>
    <pivotField showAll="0"/>
    <pivotField showAll="0">
      <items count="5">
        <item x="1"/>
        <item x="2"/>
        <item x="0"/>
        <item x="3"/>
        <item t="default"/>
      </items>
    </pivotField>
    <pivotField showAll="0">
      <items count="8">
        <item x="2"/>
        <item x="0"/>
        <item x="1"/>
        <item x="4"/>
        <item x="3"/>
        <item x="5"/>
        <item x="6"/>
        <item t="default"/>
      </items>
    </pivotField>
    <pivotField dataField="1" showAll="0"/>
    <pivotField showAll="0"/>
    <pivotField showAll="0"/>
    <pivotField axis="axisRow" showAll="0">
      <items count="6">
        <item x="3"/>
        <item x="0"/>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Total Area" fld="7" baseField="1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1389E2-C87E-4377-B942-920A0257423E}" autoFormatId="16" applyNumberFormats="0" applyBorderFormats="0" applyFontFormats="0" applyPatternFormats="0" applyAlignmentFormats="0" applyWidthHeightFormats="0">
  <queryTableRefresh nextId="26" unboundColumnsRight="8">
    <queryTableFields count="24">
      <queryTableField id="1" name="Crop ID" tableColumnId="1"/>
      <queryTableField id="2" name="Date" tableColumnId="2"/>
      <queryTableField id="3" name="Year" tableColumnId="3"/>
      <queryTableField id="4" name="State" tableColumnId="4"/>
      <queryTableField id="5" name="District" tableColumnId="5"/>
      <queryTableField id="6" name="Season" tableColumnId="6"/>
      <queryTableField id="7" name="Crop Name" tableColumnId="7"/>
      <queryTableField id="8" name="Area (Hectares)" tableColumnId="8"/>
      <queryTableField id="9" name="Production (Tonnes)" tableColumnId="9"/>
      <queryTableField id="10" name="Yield (Kg/Ha)" tableColumnId="10"/>
      <queryTableField id="11" name="Irrigation Type" tableColumnId="11"/>
      <queryTableField id="12" name="Fertilizer Type" tableColumnId="12"/>
      <queryTableField id="13" name="Fertilizer Used (Kg)" tableColumnId="13"/>
      <queryTableField id="14" name="Rainfall (mm)" tableColumnId="14"/>
      <queryTableField id="15" name="Soil Type" tableColumnId="15"/>
      <queryTableField id="16" name="Temperature (Celsius)" tableColumnId="16"/>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72BDED0-34BF-49D7-AC9E-87020A90F5F6}" sourceName="State">
  <pivotTables>
    <pivotTable tabId="11" name="PivotTable9"/>
    <pivotTable tabId="7" name="PivotTable5"/>
    <pivotTable tabId="8" name="PivotTable6"/>
    <pivotTable tabId="9" name="PivotTable7"/>
    <pivotTable tabId="10" name="PivotTable8"/>
    <pivotTable tabId="3" name="PivotTable1"/>
    <pivotTable tabId="3" name="PivotTable3"/>
    <pivotTable tabId="3" name="PivotTable4"/>
  </pivotTables>
  <data>
    <tabular pivotCacheId="251087217">
      <items count="8">
        <i x="5"/>
        <i x="6"/>
        <i x="3"/>
        <i x="2"/>
        <i x="1" s="1"/>
        <i x="0"/>
        <i x="4"/>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317641F-4439-4DD7-9498-7752BDE78241}" sourceName="Year">
  <pivotTables>
    <pivotTable tabId="11" name="PivotTable9"/>
    <pivotTable tabId="7" name="PivotTable5"/>
    <pivotTable tabId="8" name="PivotTable6"/>
    <pivotTable tabId="9" name="PivotTable7"/>
    <pivotTable tabId="10" name="PivotTable8"/>
    <pivotTable tabId="3" name="PivotTable1"/>
    <pivotTable tabId="3" name="PivotTable3"/>
    <pivotTable tabId="3" name="PivotTable4"/>
  </pivotTables>
  <data>
    <tabular pivotCacheId="251087217">
      <items count="14">
        <i x="0" s="1"/>
        <i x="5" s="1"/>
        <i x="2" s="1"/>
        <i x="1" s="1"/>
        <i x="9" s="1"/>
        <i x="10" s="1"/>
        <i x="4" s="1"/>
        <i x="6" s="1"/>
        <i x="3" s="1"/>
        <i x="12" s="1"/>
        <i x="11" s="1"/>
        <i x="8" s="1"/>
        <i x="7" s="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2464ADCF-259A-41A4-93BB-427D8E19D3E0}" sourceName="Season">
  <pivotTables>
    <pivotTable tabId="11" name="PivotTable9"/>
    <pivotTable tabId="7" name="PivotTable5"/>
    <pivotTable tabId="8" name="PivotTable6"/>
    <pivotTable tabId="9" name="PivotTable7"/>
    <pivotTable tabId="10" name="PivotTable8"/>
    <pivotTable tabId="3" name="PivotTable1"/>
    <pivotTable tabId="3" name="PivotTable3"/>
    <pivotTable tabId="3" name="PivotTable4"/>
  </pivotTables>
  <data>
    <tabular pivotCacheId="251087217">
      <items count="4">
        <i x="1" s="1"/>
        <i x="2"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Name" xr10:uid="{1E6009E1-2FFC-41AF-859E-D2ABE704632D}" sourceName="Crop Name">
  <pivotTables>
    <pivotTable tabId="11" name="PivotTable9"/>
    <pivotTable tabId="7" name="PivotTable5"/>
    <pivotTable tabId="8" name="PivotTable6"/>
    <pivotTable tabId="9" name="PivotTable7"/>
    <pivotTable tabId="10" name="PivotTable8"/>
    <pivotTable tabId="3" name="PivotTable1"/>
    <pivotTable tabId="3" name="PivotTable3"/>
    <pivotTable tabId="3" name="PivotTable4"/>
  </pivotTables>
  <data>
    <tabular pivotCacheId="251087217">
      <items count="7">
        <i x="2" s="1"/>
        <i x="0" s="1"/>
        <i x="1" s="1"/>
        <i x="4" s="1"/>
        <i x="3" s="1"/>
        <i x="5" s="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rrigation_Type" xr10:uid="{1CBFCEFF-2FB5-4902-83DE-2A8BDBD56837}" sourceName="Irrigation Type">
  <pivotTables>
    <pivotTable tabId="11" name="PivotTable9"/>
    <pivotTable tabId="7" name="PivotTable5"/>
    <pivotTable tabId="8" name="PivotTable6"/>
    <pivotTable tabId="9" name="PivotTable7"/>
    <pivotTable tabId="10" name="PivotTable8"/>
    <pivotTable tabId="3" name="PivotTable1"/>
    <pivotTable tabId="3" name="PivotTable3"/>
    <pivotTable tabId="3" name="PivotTable4"/>
  </pivotTables>
  <data>
    <tabular pivotCacheId="251087217">
      <items count="5">
        <i x="3" s="1"/>
        <i x="0" s="1"/>
        <i x="1"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08B5A58D-8632-4033-B428-55AB3383348A}" cache="Slicer_State" caption="State" style="SlicerStyleDark4" rowHeight="360000"/>
  <slicer name="Year 1" xr10:uid="{C6375B9B-A987-4EAD-8407-991BEDDB8D9C}" cache="Slicer_Year" caption="Year" startItem="7" style="SlicerStyleDark4" rowHeight="360000"/>
  <slicer name="Season 1" xr10:uid="{DC4A62D5-4B58-498E-9720-E96D37BE71D0}" cache="Slicer_Season" caption="Season" startItem="1" style="SlicerStyleDark4" rowHeight="360000"/>
  <slicer name="Crop Name 1" xr10:uid="{277A2723-29C8-4BCB-8268-782332E55718}" cache="Slicer_Crop_Name" caption="Crop Name" startItem="2" style="SlicerStyleDark4" rowHeight="360000"/>
  <slicer name="Irrigation Type 1" xr10:uid="{4ED4E002-36F2-4DA6-85D3-E88AB31E6E2D}" cache="Slicer_Irrigation_Type" caption="Irrigation Type" startItem="1" style="SlicerStyleDark4"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73C99FB5-C11D-49D7-AA34-BFDD8C5000B5}" cache="Slicer_State" caption="State" style="SlicerStyleDark4" rowHeight="360000"/>
  <slicer name="Year 2" xr10:uid="{7A127BE1-2BBA-4F52-9477-2A70E586FDC4}" cache="Slicer_Year" caption="Year" startItem="7" style="SlicerStyleDark4" rowHeight="360000"/>
  <slicer name="Season 2" xr10:uid="{E149EA4C-DAE7-4967-9453-EBC7D6FDCFBE}" cache="Slicer_Season" caption="Season" startItem="1" style="SlicerStyleDark4" rowHeight="360000"/>
  <slicer name="Crop Name 2" xr10:uid="{19507129-8554-4D31-BD15-5575D148C665}" cache="Slicer_Crop_Name" caption="Crop Name" startItem="2" style="SlicerStyleDark4" rowHeight="360000"/>
  <slicer name="Irrigation Type 2" xr10:uid="{09DAA679-AA24-42A5-A240-124EF28E136E}" cache="Slicer_Irrigation_Type" caption="Irrigation Type" startItem="1" style="SlicerStyleDark4" rowHeight="36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0F8E11E-8955-43C7-884B-6022DFE0E118}" cache="Slicer_State" caption="State" rowHeight="234950"/>
  <slicer name="Year" xr10:uid="{469DBC82-0322-45E4-8711-52CCDD0BF14B}" cache="Slicer_Year" caption="Year" rowHeight="234950"/>
  <slicer name="Season" xr10:uid="{B9B5381D-88CC-4108-A59A-B6E83502B55F}" cache="Slicer_Season" caption="Season" rowHeight="234950"/>
  <slicer name="Crop Name" xr10:uid="{821BFEC3-2596-49A6-BDB8-E1BE70CECCC9}" cache="Slicer_Crop_Name" caption="Crop Name" rowHeight="234950"/>
  <slicer name="Irrigation Type" xr10:uid="{522187FD-5DB2-4E2B-9EC7-64575E2038E9}" cache="Slicer_Irrigation_Type" caption="Irrigation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2A70CF-BF88-4C61-A9EF-592D72DECD37}" name="Agricultural_Crop_Yield" displayName="Agricultural_Crop_Yield" ref="A1:X541" tableType="queryTable" totalsRowShown="0">
  <autoFilter ref="A1:X541" xr:uid="{DC2A70CF-BF88-4C61-A9EF-592D72DECD37}"/>
  <tableColumns count="24">
    <tableColumn id="1" xr3:uid="{9AD3E0B8-71AE-40F8-B62A-ED2A714897B8}" uniqueName="1" name="Crop ID" queryTableFieldId="1" dataDxfId="16"/>
    <tableColumn id="2" xr3:uid="{BBBD4DD3-DC0B-407F-9903-EF3B4660520B}" uniqueName="2" name="Date" queryTableFieldId="2" dataDxfId="15"/>
    <tableColumn id="3" xr3:uid="{708BF204-1F23-4CA5-832C-989DC815CBF2}" uniqueName="3" name="Year" queryTableFieldId="3"/>
    <tableColumn id="4" xr3:uid="{4A1BDA5A-5153-4DD0-98A8-E3AB659FE131}" uniqueName="4" name="State" queryTableFieldId="4" dataDxfId="14"/>
    <tableColumn id="5" xr3:uid="{1FB3B53D-C51A-4C48-8B4C-DC0CB0AE3D13}" uniqueName="5" name="District" queryTableFieldId="5" dataDxfId="13"/>
    <tableColumn id="6" xr3:uid="{745DED0A-D04E-4224-8ED5-6C8B0B4F2005}" uniqueName="6" name="Season" queryTableFieldId="6" dataDxfId="12"/>
    <tableColumn id="7" xr3:uid="{186E9B1F-DF32-466F-B511-CF27C9800AAB}" uniqueName="7" name="Crop Name" queryTableFieldId="7" dataDxfId="11"/>
    <tableColumn id="8" xr3:uid="{4CC412D5-DAD7-4965-A1F0-66B0831468B1}" uniqueName="8" name="Area (Hectares)" queryTableFieldId="8"/>
    <tableColumn id="9" xr3:uid="{AA638210-A1A8-42F0-99AC-FF4D9BF14C25}" uniqueName="9" name="Production (Tonnes)" queryTableFieldId="9"/>
    <tableColumn id="10" xr3:uid="{CAA73E83-481B-4161-AB70-6EBCCB52CB65}" uniqueName="10" name="Yield (Kg/Ha)" queryTableFieldId="10"/>
    <tableColumn id="11" xr3:uid="{F67FC503-8E7D-45AB-85D4-7AC468E94C2D}" uniqueName="11" name="Irrigation Type" queryTableFieldId="11" dataDxfId="10"/>
    <tableColumn id="12" xr3:uid="{26444BCD-6FB9-4CE3-931A-890E7D83CD85}" uniqueName="12" name="Fertilizer Type" queryTableFieldId="12" dataDxfId="9"/>
    <tableColumn id="13" xr3:uid="{2562E19C-7AF7-4611-ABE7-E86061D0662C}" uniqueName="13" name="Fertilizer Used (Kg)" queryTableFieldId="13"/>
    <tableColumn id="14" xr3:uid="{867AFD09-58A5-462B-B02A-615BBCDA4BF5}" uniqueName="14" name="Rainfall (mm)" queryTableFieldId="14"/>
    <tableColumn id="15" xr3:uid="{2FD0C673-EDD5-41D3-BA3A-B8971F83FF8B}" uniqueName="15" name="Soil Type" queryTableFieldId="15" dataDxfId="8"/>
    <tableColumn id="16" xr3:uid="{2FFA441B-EF02-4198-826E-178593681F08}" uniqueName="16" name="Temperature (Celsius)" queryTableFieldId="16"/>
    <tableColumn id="18" xr3:uid="{104F91ED-C701-4BC1-8447-FE51EEE6840B}" uniqueName="18" name="Year-Month" queryTableFieldId="18" dataDxfId="7">
      <calculatedColumnFormula>TEXT(B2,"yyyy-mm")</calculatedColumnFormula>
    </tableColumn>
    <tableColumn id="19" xr3:uid="{8FA11D19-62CC-4FCE-9B25-27AAE5AD81B5}" uniqueName="19" name="Yield per Acre" queryTableFieldId="19" dataDxfId="6">
      <calculatedColumnFormula>J2/2.47105</calculatedColumnFormula>
    </tableColumn>
    <tableColumn id="20" xr3:uid="{5AC33AC6-63D2-46D1-85A7-3E3F79C05C3B}" uniqueName="20" name="Fertilizer Efficiency" queryTableFieldId="20" dataDxfId="5">
      <calculatedColumnFormula>R2/M2</calculatedColumnFormula>
    </tableColumn>
    <tableColumn id="21" xr3:uid="{F85420E8-F697-4F3B-9010-69FC36020B1E}" uniqueName="21" name="Clean State" queryTableFieldId="21" dataDxfId="4">
      <calculatedColumnFormula>PROPER(TRIM(D2))</calculatedColumnFormula>
    </tableColumn>
    <tableColumn id="22" xr3:uid="{865458AB-2A53-48C0-946F-52FB21B9D158}" uniqueName="22" name="Clean District" queryTableFieldId="22" dataDxfId="3">
      <calculatedColumnFormula>PROPER(TRIM(E2))</calculatedColumnFormula>
    </tableColumn>
    <tableColumn id="23" xr3:uid="{B907ECEF-ED80-4592-A863-B0CBAACB5F17}" uniqueName="23" name="Clean Crop Name" queryTableFieldId="23" dataDxfId="2">
      <calculatedColumnFormula>PROPER(TRIM(G2))</calculatedColumnFormula>
    </tableColumn>
    <tableColumn id="24" xr3:uid="{7102495B-9F3E-4AE1-BA03-AF4D265F8058}" uniqueName="24" name="Clean Fertilizer Type" queryTableFieldId="24" dataDxfId="1">
      <calculatedColumnFormula>PROPER(TRIM(L2))</calculatedColumnFormula>
    </tableColumn>
    <tableColumn id="25" xr3:uid="{09CC2D7B-A9FA-48E7-8EA8-09642DF5033B}" uniqueName="25" name="Crop Category" queryTableFieldId="25" dataDxfId="0">
      <calculatedColumnFormula>IF(OR(V2="Wheat",V2="Rice",V2="Maize",V2="Pulses"),"Food","Cash")</calculatedColumnFormula>
    </tableColumn>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502CF-AA18-4822-BF11-876CE6F4EBBD}">
  <dimension ref="A3:C98"/>
  <sheetViews>
    <sheetView zoomScale="84" zoomScaleNormal="90" workbookViewId="0">
      <selection activeCell="B13" sqref="B13"/>
    </sheetView>
  </sheetViews>
  <sheetFormatPr defaultRowHeight="13.8" x14ac:dyDescent="0.25"/>
  <cols>
    <col min="1" max="1" width="12.796875" bestFit="1" customWidth="1"/>
    <col min="2" max="2" width="23.19921875" bestFit="1" customWidth="1"/>
    <col min="3" max="3" width="15.3984375" bestFit="1" customWidth="1"/>
  </cols>
  <sheetData>
    <row r="3" spans="1:2" x14ac:dyDescent="0.25">
      <c r="A3" s="2" t="s">
        <v>574</v>
      </c>
      <c r="B3" t="s">
        <v>644</v>
      </c>
    </row>
    <row r="4" spans="1:2" x14ac:dyDescent="0.25">
      <c r="A4" s="3" t="s">
        <v>25</v>
      </c>
      <c r="B4" s="4">
        <v>13679.020000000002</v>
      </c>
    </row>
    <row r="5" spans="1:2" x14ac:dyDescent="0.25">
      <c r="A5" s="3" t="s">
        <v>575</v>
      </c>
      <c r="B5" s="4">
        <v>13679.020000000002</v>
      </c>
    </row>
    <row r="20" spans="2:3" x14ac:dyDescent="0.25">
      <c r="B20" s="2" t="s">
        <v>574</v>
      </c>
      <c r="C20" t="s">
        <v>576</v>
      </c>
    </row>
    <row r="21" spans="2:3" x14ac:dyDescent="0.25">
      <c r="B21" s="3" t="s">
        <v>39</v>
      </c>
      <c r="C21" s="4">
        <v>1273.96</v>
      </c>
    </row>
    <row r="22" spans="2:3" x14ac:dyDescent="0.25">
      <c r="B22" s="3" t="s">
        <v>20</v>
      </c>
      <c r="C22" s="4">
        <v>2067.9</v>
      </c>
    </row>
    <row r="23" spans="2:3" x14ac:dyDescent="0.25">
      <c r="B23" s="3" t="s">
        <v>27</v>
      </c>
      <c r="C23" s="4">
        <v>1606.21</v>
      </c>
    </row>
    <row r="24" spans="2:3" x14ac:dyDescent="0.25">
      <c r="B24" s="3" t="s">
        <v>56</v>
      </c>
      <c r="C24" s="4">
        <v>2305.7199999999998</v>
      </c>
    </row>
    <row r="25" spans="2:3" x14ac:dyDescent="0.25">
      <c r="B25" s="3" t="s">
        <v>46</v>
      </c>
      <c r="C25" s="4">
        <v>3076.82</v>
      </c>
    </row>
    <row r="26" spans="2:3" x14ac:dyDescent="0.25">
      <c r="B26" s="3" t="s">
        <v>64</v>
      </c>
      <c r="C26" s="4">
        <v>3348.41</v>
      </c>
    </row>
    <row r="27" spans="2:3" x14ac:dyDescent="0.25">
      <c r="B27" s="3" t="s">
        <v>575</v>
      </c>
      <c r="C27" s="4">
        <v>13679.019999999999</v>
      </c>
    </row>
    <row r="38" spans="2:3" x14ac:dyDescent="0.25">
      <c r="B38" s="2" t="s">
        <v>574</v>
      </c>
      <c r="C38" t="s">
        <v>576</v>
      </c>
    </row>
    <row r="39" spans="2:3" x14ac:dyDescent="0.25">
      <c r="B39" s="3" t="s">
        <v>609</v>
      </c>
      <c r="C39" s="4">
        <v>264.5</v>
      </c>
    </row>
    <row r="40" spans="2:3" x14ac:dyDescent="0.25">
      <c r="B40" s="3" t="s">
        <v>610</v>
      </c>
      <c r="C40" s="4">
        <v>34.11</v>
      </c>
    </row>
    <row r="41" spans="2:3" x14ac:dyDescent="0.25">
      <c r="B41" s="3" t="s">
        <v>611</v>
      </c>
      <c r="C41" s="4">
        <v>542.16</v>
      </c>
    </row>
    <row r="42" spans="2:3" x14ac:dyDescent="0.25">
      <c r="B42" s="3" t="s">
        <v>593</v>
      </c>
      <c r="C42" s="4">
        <v>144.31</v>
      </c>
    </row>
    <row r="43" spans="2:3" x14ac:dyDescent="0.25">
      <c r="B43" s="3" t="s">
        <v>594</v>
      </c>
      <c r="C43" s="4">
        <v>274.52</v>
      </c>
    </row>
    <row r="44" spans="2:3" x14ac:dyDescent="0.25">
      <c r="B44" s="3" t="s">
        <v>612</v>
      </c>
      <c r="C44" s="4">
        <v>39.33</v>
      </c>
    </row>
    <row r="45" spans="2:3" x14ac:dyDescent="0.25">
      <c r="B45" s="3" t="s">
        <v>595</v>
      </c>
      <c r="C45" s="4">
        <v>200.13</v>
      </c>
    </row>
    <row r="46" spans="2:3" x14ac:dyDescent="0.25">
      <c r="B46" s="3" t="s">
        <v>613</v>
      </c>
      <c r="C46" s="4">
        <v>212.06</v>
      </c>
    </row>
    <row r="47" spans="2:3" x14ac:dyDescent="0.25">
      <c r="B47" s="3" t="s">
        <v>614</v>
      </c>
      <c r="C47" s="4">
        <v>139.59</v>
      </c>
    </row>
    <row r="48" spans="2:3" x14ac:dyDescent="0.25">
      <c r="B48" s="3" t="s">
        <v>596</v>
      </c>
      <c r="C48" s="4">
        <v>639.29</v>
      </c>
    </row>
    <row r="49" spans="2:3" x14ac:dyDescent="0.25">
      <c r="B49" s="3" t="s">
        <v>615</v>
      </c>
      <c r="C49" s="4">
        <v>348.12</v>
      </c>
    </row>
    <row r="50" spans="2:3" x14ac:dyDescent="0.25">
      <c r="B50" s="3" t="s">
        <v>616</v>
      </c>
      <c r="C50" s="4">
        <v>283.08</v>
      </c>
    </row>
    <row r="51" spans="2:3" x14ac:dyDescent="0.25">
      <c r="B51" s="3" t="s">
        <v>617</v>
      </c>
      <c r="C51" s="4">
        <v>615.66000000000008</v>
      </c>
    </row>
    <row r="52" spans="2:3" x14ac:dyDescent="0.25">
      <c r="B52" s="3" t="s">
        <v>618</v>
      </c>
      <c r="C52" s="4">
        <v>15.32</v>
      </c>
    </row>
    <row r="53" spans="2:3" x14ac:dyDescent="0.25">
      <c r="B53" s="3" t="s">
        <v>619</v>
      </c>
      <c r="C53" s="4">
        <v>127.37</v>
      </c>
    </row>
    <row r="54" spans="2:3" x14ac:dyDescent="0.25">
      <c r="B54" s="3" t="s">
        <v>620</v>
      </c>
      <c r="C54" s="4">
        <v>150.69999999999999</v>
      </c>
    </row>
    <row r="55" spans="2:3" x14ac:dyDescent="0.25">
      <c r="B55" s="3" t="s">
        <v>597</v>
      </c>
      <c r="C55" s="4">
        <v>44.58</v>
      </c>
    </row>
    <row r="56" spans="2:3" x14ac:dyDescent="0.25">
      <c r="B56" s="3" t="s">
        <v>621</v>
      </c>
      <c r="C56" s="4">
        <v>285.25</v>
      </c>
    </row>
    <row r="57" spans="2:3" x14ac:dyDescent="0.25">
      <c r="B57" s="3" t="s">
        <v>622</v>
      </c>
      <c r="C57" s="4">
        <v>427.76</v>
      </c>
    </row>
    <row r="58" spans="2:3" x14ac:dyDescent="0.25">
      <c r="B58" s="3" t="s">
        <v>598</v>
      </c>
      <c r="C58" s="4">
        <v>34.770000000000003</v>
      </c>
    </row>
    <row r="59" spans="2:3" x14ac:dyDescent="0.25">
      <c r="B59" s="3" t="s">
        <v>587</v>
      </c>
      <c r="C59" s="4">
        <v>270.43</v>
      </c>
    </row>
    <row r="60" spans="2:3" x14ac:dyDescent="0.25">
      <c r="B60" s="3" t="s">
        <v>623</v>
      </c>
      <c r="C60" s="4">
        <v>221.5</v>
      </c>
    </row>
    <row r="61" spans="2:3" x14ac:dyDescent="0.25">
      <c r="B61" s="3" t="s">
        <v>624</v>
      </c>
      <c r="C61" s="4">
        <v>56.79</v>
      </c>
    </row>
    <row r="62" spans="2:3" x14ac:dyDescent="0.25">
      <c r="B62" s="3" t="s">
        <v>599</v>
      </c>
      <c r="C62" s="4">
        <v>57.57</v>
      </c>
    </row>
    <row r="63" spans="2:3" x14ac:dyDescent="0.25">
      <c r="B63" s="3" t="s">
        <v>588</v>
      </c>
      <c r="C63" s="4">
        <v>368.72</v>
      </c>
    </row>
    <row r="64" spans="2:3" x14ac:dyDescent="0.25">
      <c r="B64" s="3" t="s">
        <v>600</v>
      </c>
      <c r="C64" s="4">
        <v>54.44</v>
      </c>
    </row>
    <row r="65" spans="2:3" x14ac:dyDescent="0.25">
      <c r="B65" s="3" t="s">
        <v>625</v>
      </c>
      <c r="C65" s="4">
        <v>341.49</v>
      </c>
    </row>
    <row r="66" spans="2:3" x14ac:dyDescent="0.25">
      <c r="B66" s="3" t="s">
        <v>589</v>
      </c>
      <c r="C66" s="4">
        <v>428.47</v>
      </c>
    </row>
    <row r="67" spans="2:3" x14ac:dyDescent="0.25">
      <c r="B67" s="3" t="s">
        <v>626</v>
      </c>
      <c r="C67" s="4">
        <v>317.02999999999997</v>
      </c>
    </row>
    <row r="68" spans="2:3" x14ac:dyDescent="0.25">
      <c r="B68" s="3" t="s">
        <v>627</v>
      </c>
      <c r="C68" s="4">
        <v>389.09999999999997</v>
      </c>
    </row>
    <row r="69" spans="2:3" x14ac:dyDescent="0.25">
      <c r="B69" s="3" t="s">
        <v>590</v>
      </c>
      <c r="C69" s="4">
        <v>112.23</v>
      </c>
    </row>
    <row r="70" spans="2:3" x14ac:dyDescent="0.25">
      <c r="B70" s="3" t="s">
        <v>628</v>
      </c>
      <c r="C70" s="4">
        <v>44.26</v>
      </c>
    </row>
    <row r="71" spans="2:3" x14ac:dyDescent="0.25">
      <c r="B71" s="3" t="s">
        <v>629</v>
      </c>
      <c r="C71" s="4">
        <v>127.32</v>
      </c>
    </row>
    <row r="72" spans="2:3" x14ac:dyDescent="0.25">
      <c r="B72" s="3" t="s">
        <v>630</v>
      </c>
      <c r="C72" s="4">
        <v>353.79</v>
      </c>
    </row>
    <row r="73" spans="2:3" x14ac:dyDescent="0.25">
      <c r="B73" s="3" t="s">
        <v>591</v>
      </c>
      <c r="C73" s="4">
        <v>543.95000000000005</v>
      </c>
    </row>
    <row r="74" spans="2:3" x14ac:dyDescent="0.25">
      <c r="B74" s="3" t="s">
        <v>631</v>
      </c>
      <c r="C74" s="4">
        <v>200.3</v>
      </c>
    </row>
    <row r="75" spans="2:3" x14ac:dyDescent="0.25">
      <c r="B75" s="3" t="s">
        <v>632</v>
      </c>
      <c r="C75" s="4">
        <v>32.51</v>
      </c>
    </row>
    <row r="76" spans="2:3" x14ac:dyDescent="0.25">
      <c r="B76" s="3" t="s">
        <v>601</v>
      </c>
      <c r="C76" s="4">
        <v>174.34</v>
      </c>
    </row>
    <row r="77" spans="2:3" x14ac:dyDescent="0.25">
      <c r="B77" s="3" t="s">
        <v>633</v>
      </c>
      <c r="C77" s="4">
        <v>418.45</v>
      </c>
    </row>
    <row r="78" spans="2:3" x14ac:dyDescent="0.25">
      <c r="B78" s="3" t="s">
        <v>592</v>
      </c>
      <c r="C78" s="4">
        <v>366.44</v>
      </c>
    </row>
    <row r="79" spans="2:3" x14ac:dyDescent="0.25">
      <c r="B79" s="3" t="s">
        <v>634</v>
      </c>
      <c r="C79" s="4">
        <v>172.33</v>
      </c>
    </row>
    <row r="80" spans="2:3" x14ac:dyDescent="0.25">
      <c r="B80" s="3" t="s">
        <v>635</v>
      </c>
      <c r="C80" s="4">
        <v>262.64</v>
      </c>
    </row>
    <row r="81" spans="2:3" x14ac:dyDescent="0.25">
      <c r="B81" s="3" t="s">
        <v>602</v>
      </c>
      <c r="C81" s="4">
        <v>237.91</v>
      </c>
    </row>
    <row r="82" spans="2:3" x14ac:dyDescent="0.25">
      <c r="B82" s="3" t="s">
        <v>603</v>
      </c>
      <c r="C82" s="4">
        <v>198.75</v>
      </c>
    </row>
    <row r="83" spans="2:3" x14ac:dyDescent="0.25">
      <c r="B83" s="3" t="s">
        <v>636</v>
      </c>
      <c r="C83" s="4">
        <v>118.76</v>
      </c>
    </row>
    <row r="84" spans="2:3" x14ac:dyDescent="0.25">
      <c r="B84" s="3" t="s">
        <v>637</v>
      </c>
      <c r="C84" s="4">
        <v>202.79</v>
      </c>
    </row>
    <row r="85" spans="2:3" x14ac:dyDescent="0.25">
      <c r="B85" s="3" t="s">
        <v>586</v>
      </c>
      <c r="C85" s="4">
        <v>271.83</v>
      </c>
    </row>
    <row r="86" spans="2:3" x14ac:dyDescent="0.25">
      <c r="B86" s="3" t="s">
        <v>604</v>
      </c>
      <c r="C86" s="4">
        <v>59.12</v>
      </c>
    </row>
    <row r="87" spans="2:3" x14ac:dyDescent="0.25">
      <c r="B87" s="3" t="s">
        <v>638</v>
      </c>
      <c r="C87" s="4">
        <v>146.26</v>
      </c>
    </row>
    <row r="88" spans="2:3" x14ac:dyDescent="0.25">
      <c r="B88" s="3" t="s">
        <v>639</v>
      </c>
      <c r="C88" s="4">
        <v>505.04</v>
      </c>
    </row>
    <row r="89" spans="2:3" x14ac:dyDescent="0.25">
      <c r="B89" s="3" t="s">
        <v>605</v>
      </c>
      <c r="C89" s="4">
        <v>14.36</v>
      </c>
    </row>
    <row r="90" spans="2:3" x14ac:dyDescent="0.25">
      <c r="B90" s="3" t="s">
        <v>585</v>
      </c>
      <c r="C90" s="4">
        <v>179.39</v>
      </c>
    </row>
    <row r="91" spans="2:3" x14ac:dyDescent="0.25">
      <c r="B91" s="3" t="s">
        <v>640</v>
      </c>
      <c r="C91" s="4">
        <v>178.2</v>
      </c>
    </row>
    <row r="92" spans="2:3" x14ac:dyDescent="0.25">
      <c r="B92" s="3" t="s">
        <v>606</v>
      </c>
      <c r="C92" s="4">
        <v>253.41</v>
      </c>
    </row>
    <row r="93" spans="2:3" x14ac:dyDescent="0.25">
      <c r="B93" s="3" t="s">
        <v>641</v>
      </c>
      <c r="C93" s="4">
        <v>16.920000000000002</v>
      </c>
    </row>
    <row r="94" spans="2:3" x14ac:dyDescent="0.25">
      <c r="B94" s="3" t="s">
        <v>607</v>
      </c>
      <c r="C94" s="4">
        <v>12.81</v>
      </c>
    </row>
    <row r="95" spans="2:3" x14ac:dyDescent="0.25">
      <c r="B95" s="3" t="s">
        <v>642</v>
      </c>
      <c r="C95" s="4">
        <v>205.76</v>
      </c>
    </row>
    <row r="96" spans="2:3" x14ac:dyDescent="0.25">
      <c r="B96" s="3" t="s">
        <v>608</v>
      </c>
      <c r="C96" s="4">
        <v>637.42999999999995</v>
      </c>
    </row>
    <row r="97" spans="2:3" x14ac:dyDescent="0.25">
      <c r="B97" s="3" t="s">
        <v>643</v>
      </c>
      <c r="C97" s="4">
        <v>303.57</v>
      </c>
    </row>
    <row r="98" spans="2:3" x14ac:dyDescent="0.25">
      <c r="B98" s="3" t="s">
        <v>575</v>
      </c>
      <c r="C98" s="4">
        <v>13679.020000000004</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9A1B2-321B-46D6-82B8-0F3170A4CA5C}">
  <dimension ref="A1:X541"/>
  <sheetViews>
    <sheetView zoomScale="85" zoomScaleNormal="85" workbookViewId="0">
      <selection sqref="A1:XFD1"/>
    </sheetView>
  </sheetViews>
  <sheetFormatPr defaultRowHeight="13.8" x14ac:dyDescent="0.25"/>
  <cols>
    <col min="1" max="1" width="9.3984375" customWidth="1"/>
    <col min="2" max="2" width="13.69921875" customWidth="1"/>
    <col min="3" max="3" width="6.796875" customWidth="1"/>
    <col min="4" max="4" width="12.09765625" customWidth="1"/>
    <col min="5" max="6" width="9.09765625" customWidth="1"/>
    <col min="7" max="7" width="12.59765625" customWidth="1"/>
    <col min="8" max="8" width="16.09765625" customWidth="1"/>
    <col min="9" max="9" width="20.59765625" customWidth="1"/>
    <col min="10" max="10" width="14.09765625" customWidth="1"/>
    <col min="11" max="11" width="15.5" customWidth="1"/>
    <col min="12" max="12" width="14.69921875" customWidth="1"/>
    <col min="13" max="13" width="18.796875" customWidth="1"/>
    <col min="14" max="14" width="14.5" customWidth="1"/>
    <col min="15" max="15" width="10.69921875" customWidth="1"/>
    <col min="16" max="16" width="21.69921875" customWidth="1"/>
    <col min="17" max="17" width="13.296875" customWidth="1"/>
    <col min="18" max="18" width="14.59765625" customWidth="1"/>
    <col min="19" max="19" width="18.796875" customWidth="1"/>
    <col min="20" max="20" width="12.59765625" customWidth="1"/>
    <col min="21" max="21" width="14" customWidth="1"/>
    <col min="22" max="22" width="17.796875" customWidth="1"/>
    <col min="23" max="23" width="20" customWidth="1"/>
    <col min="24" max="24" width="15.398437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567</v>
      </c>
      <c r="R1" t="s">
        <v>568</v>
      </c>
      <c r="S1" t="s">
        <v>569</v>
      </c>
      <c r="T1" t="s">
        <v>570</v>
      </c>
      <c r="U1" t="s">
        <v>571</v>
      </c>
      <c r="V1" t="s">
        <v>572</v>
      </c>
      <c r="W1" t="s">
        <v>573</v>
      </c>
      <c r="X1" t="s">
        <v>577</v>
      </c>
    </row>
    <row r="2" spans="1:24" x14ac:dyDescent="0.25">
      <c r="A2" t="s">
        <v>16</v>
      </c>
      <c r="B2" s="1">
        <v>40271</v>
      </c>
      <c r="C2">
        <v>2010</v>
      </c>
      <c r="D2" t="s">
        <v>17</v>
      </c>
      <c r="E2" t="s">
        <v>18</v>
      </c>
      <c r="F2" t="s">
        <v>19</v>
      </c>
      <c r="G2" t="s">
        <v>20</v>
      </c>
      <c r="H2">
        <v>25.24</v>
      </c>
      <c r="I2">
        <v>46.37</v>
      </c>
      <c r="J2">
        <v>1837.23</v>
      </c>
      <c r="K2" t="s">
        <v>21</v>
      </c>
      <c r="L2" t="s">
        <v>22</v>
      </c>
      <c r="M2">
        <v>219.17</v>
      </c>
      <c r="N2">
        <v>1092.18</v>
      </c>
      <c r="O2" t="s">
        <v>23</v>
      </c>
      <c r="P2">
        <v>28.86</v>
      </c>
      <c r="Q2" t="str">
        <f t="shared" ref="Q2:Q65" si="0">TEXT(B2,"yyyy-mm")</f>
        <v>2010-04</v>
      </c>
      <c r="R2">
        <f t="shared" ref="R2:R65" si="1">J2/2.47105</f>
        <v>743.50175026810462</v>
      </c>
      <c r="S2">
        <f t="shared" ref="S2:S65" si="2">R2/M2</f>
        <v>3.3923518285719059</v>
      </c>
      <c r="T2" t="str">
        <f t="shared" ref="T2:T65" si="3">PROPER(TRIM(D2))</f>
        <v>Uttar Pradesh</v>
      </c>
      <c r="U2" t="str">
        <f t="shared" ref="U2:U65" si="4">PROPER(TRIM(E2))</f>
        <v>Lucknow</v>
      </c>
      <c r="V2" t="str">
        <f t="shared" ref="V2:V65" si="5">PROPER(TRIM(G2))</f>
        <v>Maize</v>
      </c>
      <c r="W2" t="str">
        <f t="shared" ref="W2:W65" si="6">PROPER(TRIM(L2))</f>
        <v>Urea</v>
      </c>
      <c r="X2" t="str">
        <f t="shared" ref="X2:X65" si="7">IF(OR(V2="Wheat",V2="Rice",V2="Maize",V2="Pulses"),"Food","Cash")</f>
        <v>Food</v>
      </c>
    </row>
    <row r="3" spans="1:24" x14ac:dyDescent="0.25">
      <c r="A3" t="s">
        <v>24</v>
      </c>
      <c r="B3" s="1">
        <v>41375</v>
      </c>
      <c r="C3">
        <v>2013</v>
      </c>
      <c r="D3" t="s">
        <v>25</v>
      </c>
      <c r="E3" t="s">
        <v>26</v>
      </c>
      <c r="F3" t="s">
        <v>19</v>
      </c>
      <c r="G3" t="s">
        <v>27</v>
      </c>
      <c r="H3">
        <v>3.63</v>
      </c>
      <c r="I3">
        <v>7.96</v>
      </c>
      <c r="J3">
        <v>2193.0300000000002</v>
      </c>
      <c r="K3" t="s">
        <v>28</v>
      </c>
      <c r="L3" t="s">
        <v>29</v>
      </c>
      <c r="M3">
        <v>105.11</v>
      </c>
      <c r="N3">
        <v>789.27</v>
      </c>
      <c r="O3" t="s">
        <v>23</v>
      </c>
      <c r="P3">
        <v>31.38</v>
      </c>
      <c r="Q3" t="str">
        <f t="shared" si="0"/>
        <v>2013-04</v>
      </c>
      <c r="R3">
        <f t="shared" si="1"/>
        <v>887.48912405657518</v>
      </c>
      <c r="S3">
        <f t="shared" si="2"/>
        <v>8.4434318719110948</v>
      </c>
      <c r="T3" t="str">
        <f t="shared" si="3"/>
        <v>Punjab</v>
      </c>
      <c r="U3" t="str">
        <f t="shared" si="4"/>
        <v>Ludhiana</v>
      </c>
      <c r="V3" t="str">
        <f t="shared" si="5"/>
        <v>Pulses</v>
      </c>
      <c r="W3" t="str">
        <f t="shared" si="6"/>
        <v>Compost</v>
      </c>
      <c r="X3" t="str">
        <f t="shared" si="7"/>
        <v>Food</v>
      </c>
    </row>
    <row r="4" spans="1:24" x14ac:dyDescent="0.25">
      <c r="A4" t="s">
        <v>30</v>
      </c>
      <c r="B4" s="1">
        <v>41198</v>
      </c>
      <c r="C4">
        <v>2012</v>
      </c>
      <c r="D4" t="s">
        <v>31</v>
      </c>
      <c r="E4" t="s">
        <v>32</v>
      </c>
      <c r="F4" t="s">
        <v>33</v>
      </c>
      <c r="G4" t="s">
        <v>20</v>
      </c>
      <c r="H4">
        <v>11.12</v>
      </c>
      <c r="I4">
        <v>36.47</v>
      </c>
      <c r="J4">
        <v>3279.56</v>
      </c>
      <c r="K4" t="s">
        <v>34</v>
      </c>
      <c r="L4" t="s">
        <v>22</v>
      </c>
      <c r="M4">
        <v>261.87</v>
      </c>
      <c r="N4">
        <v>803.73</v>
      </c>
      <c r="O4" t="s">
        <v>23</v>
      </c>
      <c r="P4">
        <v>30.95</v>
      </c>
      <c r="Q4" t="str">
        <f t="shared" si="0"/>
        <v>2012-10</v>
      </c>
      <c r="R4">
        <f t="shared" si="1"/>
        <v>1327.192893709152</v>
      </c>
      <c r="S4">
        <f t="shared" si="2"/>
        <v>5.0681364559100013</v>
      </c>
      <c r="T4" t="str">
        <f t="shared" si="3"/>
        <v>Maharashtra</v>
      </c>
      <c r="U4" t="str">
        <f t="shared" si="4"/>
        <v>Pune</v>
      </c>
      <c r="V4" t="str">
        <f t="shared" si="5"/>
        <v>Maize</v>
      </c>
      <c r="W4" t="str">
        <f t="shared" si="6"/>
        <v>Urea</v>
      </c>
      <c r="X4" t="str">
        <f t="shared" si="7"/>
        <v>Food</v>
      </c>
    </row>
    <row r="5" spans="1:24" x14ac:dyDescent="0.25">
      <c r="A5" t="s">
        <v>35</v>
      </c>
      <c r="B5" s="1">
        <v>43425</v>
      </c>
      <c r="C5">
        <v>2018</v>
      </c>
      <c r="D5" t="s">
        <v>36</v>
      </c>
      <c r="E5" t="s">
        <v>37</v>
      </c>
      <c r="F5" t="s">
        <v>38</v>
      </c>
      <c r="G5" t="s">
        <v>39</v>
      </c>
      <c r="H5">
        <v>62.23</v>
      </c>
      <c r="I5">
        <v>383.97</v>
      </c>
      <c r="J5">
        <v>6170.24</v>
      </c>
      <c r="K5" t="s">
        <v>40</v>
      </c>
      <c r="L5" t="s">
        <v>41</v>
      </c>
      <c r="M5">
        <v>226.14</v>
      </c>
      <c r="N5">
        <v>245.82</v>
      </c>
      <c r="O5" t="s">
        <v>42</v>
      </c>
      <c r="P5">
        <v>31.6</v>
      </c>
      <c r="Q5" t="str">
        <f t="shared" si="0"/>
        <v>2018-11</v>
      </c>
      <c r="R5">
        <f t="shared" si="1"/>
        <v>2497.011391918415</v>
      </c>
      <c r="S5">
        <f t="shared" si="2"/>
        <v>11.041882868658421</v>
      </c>
      <c r="T5" t="str">
        <f t="shared" si="3"/>
        <v>Karnataka</v>
      </c>
      <c r="U5" t="str">
        <f t="shared" si="4"/>
        <v>Bangalore</v>
      </c>
      <c r="V5" t="str">
        <f t="shared" si="5"/>
        <v>Cotton</v>
      </c>
      <c r="W5" t="str">
        <f t="shared" si="6"/>
        <v>Dap</v>
      </c>
      <c r="X5" t="str">
        <f t="shared" si="7"/>
        <v>Cash</v>
      </c>
    </row>
    <row r="6" spans="1:24" x14ac:dyDescent="0.25">
      <c r="A6" t="s">
        <v>43</v>
      </c>
      <c r="B6" s="1">
        <v>42718</v>
      </c>
      <c r="C6">
        <v>2016</v>
      </c>
      <c r="D6" t="s">
        <v>44</v>
      </c>
      <c r="E6" t="s">
        <v>45</v>
      </c>
      <c r="F6" t="s">
        <v>38</v>
      </c>
      <c r="G6" t="s">
        <v>46</v>
      </c>
      <c r="H6">
        <v>63.93</v>
      </c>
      <c r="I6">
        <v>203.87</v>
      </c>
      <c r="J6">
        <v>3188.99</v>
      </c>
      <c r="K6" t="s">
        <v>34</v>
      </c>
      <c r="L6" t="s">
        <v>47</v>
      </c>
      <c r="M6">
        <v>138.82</v>
      </c>
      <c r="N6">
        <v>870.18</v>
      </c>
      <c r="O6" t="s">
        <v>23</v>
      </c>
      <c r="P6">
        <v>29.14</v>
      </c>
      <c r="Q6" t="str">
        <f t="shared" si="0"/>
        <v>2016-12</v>
      </c>
      <c r="R6">
        <f t="shared" si="1"/>
        <v>1290.5404585095405</v>
      </c>
      <c r="S6">
        <f t="shared" si="2"/>
        <v>9.2965023664424482</v>
      </c>
      <c r="T6" t="str">
        <f t="shared" si="3"/>
        <v>West Bengal</v>
      </c>
      <c r="U6" t="str">
        <f t="shared" si="4"/>
        <v>Kolkata</v>
      </c>
      <c r="V6" t="str">
        <f t="shared" si="5"/>
        <v>Sugarcane</v>
      </c>
      <c r="W6" t="str">
        <f t="shared" si="6"/>
        <v>Vermicompost</v>
      </c>
      <c r="X6" t="str">
        <f t="shared" si="7"/>
        <v>Cash</v>
      </c>
    </row>
    <row r="7" spans="1:24" x14ac:dyDescent="0.25">
      <c r="A7" t="s">
        <v>48</v>
      </c>
      <c r="B7" s="1">
        <v>41222</v>
      </c>
      <c r="C7">
        <v>2012</v>
      </c>
      <c r="D7" t="s">
        <v>17</v>
      </c>
      <c r="E7" t="s">
        <v>18</v>
      </c>
      <c r="F7" t="s">
        <v>38</v>
      </c>
      <c r="G7" t="s">
        <v>46</v>
      </c>
      <c r="H7">
        <v>27.72</v>
      </c>
      <c r="I7">
        <v>181.63</v>
      </c>
      <c r="J7">
        <v>6552.35</v>
      </c>
      <c r="K7" t="s">
        <v>40</v>
      </c>
      <c r="L7" t="s">
        <v>49</v>
      </c>
      <c r="M7">
        <v>221.15</v>
      </c>
      <c r="N7">
        <v>1042.8499999999999</v>
      </c>
      <c r="O7" t="s">
        <v>23</v>
      </c>
      <c r="P7">
        <v>23.44</v>
      </c>
      <c r="Q7" t="str">
        <f t="shared" si="0"/>
        <v>2012-11</v>
      </c>
      <c r="R7">
        <f t="shared" si="1"/>
        <v>2651.6460613909071</v>
      </c>
      <c r="S7">
        <f t="shared" si="2"/>
        <v>11.990260282120312</v>
      </c>
      <c r="T7" t="str">
        <f t="shared" si="3"/>
        <v>Uttar Pradesh</v>
      </c>
      <c r="U7" t="str">
        <f t="shared" si="4"/>
        <v>Lucknow</v>
      </c>
      <c r="V7" t="str">
        <f t="shared" si="5"/>
        <v>Sugarcane</v>
      </c>
      <c r="W7" t="str">
        <f t="shared" si="6"/>
        <v>Npk</v>
      </c>
      <c r="X7" t="str">
        <f t="shared" si="7"/>
        <v>Cash</v>
      </c>
    </row>
    <row r="8" spans="1:24" x14ac:dyDescent="0.25">
      <c r="A8" t="s">
        <v>50</v>
      </c>
      <c r="B8" s="1">
        <v>40730</v>
      </c>
      <c r="C8">
        <v>2011</v>
      </c>
      <c r="D8" t="s">
        <v>36</v>
      </c>
      <c r="E8" t="s">
        <v>51</v>
      </c>
      <c r="F8" t="s">
        <v>33</v>
      </c>
      <c r="G8" t="s">
        <v>27</v>
      </c>
      <c r="H8">
        <v>87.76</v>
      </c>
      <c r="I8">
        <v>253.46</v>
      </c>
      <c r="J8">
        <v>2888.07</v>
      </c>
      <c r="K8" t="s">
        <v>28</v>
      </c>
      <c r="L8" t="s">
        <v>41</v>
      </c>
      <c r="M8">
        <v>148.91</v>
      </c>
      <c r="N8">
        <v>1114.55</v>
      </c>
      <c r="O8" t="s">
        <v>52</v>
      </c>
      <c r="P8">
        <v>22.14</v>
      </c>
      <c r="Q8" t="str">
        <f t="shared" si="0"/>
        <v>2011-07</v>
      </c>
      <c r="R8">
        <f t="shared" si="1"/>
        <v>1168.7622670524677</v>
      </c>
      <c r="S8">
        <f t="shared" si="2"/>
        <v>7.848782936353957</v>
      </c>
      <c r="T8" t="str">
        <f t="shared" si="3"/>
        <v>Karnataka</v>
      </c>
      <c r="U8" t="str">
        <f t="shared" si="4"/>
        <v>Mysore</v>
      </c>
      <c r="V8" t="str">
        <f t="shared" si="5"/>
        <v>Pulses</v>
      </c>
      <c r="W8" t="str">
        <f t="shared" si="6"/>
        <v>Dap</v>
      </c>
      <c r="X8" t="str">
        <f t="shared" si="7"/>
        <v>Food</v>
      </c>
    </row>
    <row r="9" spans="1:24" x14ac:dyDescent="0.25">
      <c r="A9" t="s">
        <v>53</v>
      </c>
      <c r="B9" s="1">
        <v>43428</v>
      </c>
      <c r="C9">
        <v>2018</v>
      </c>
      <c r="D9" t="s">
        <v>17</v>
      </c>
      <c r="E9" t="s">
        <v>54</v>
      </c>
      <c r="F9" t="s">
        <v>38</v>
      </c>
      <c r="G9" t="s">
        <v>39</v>
      </c>
      <c r="H9">
        <v>58.87</v>
      </c>
      <c r="I9">
        <v>376</v>
      </c>
      <c r="J9">
        <v>6386.94</v>
      </c>
      <c r="K9" t="s">
        <v>28</v>
      </c>
      <c r="L9" t="s">
        <v>22</v>
      </c>
      <c r="M9">
        <v>140.5</v>
      </c>
      <c r="N9">
        <v>1197.33</v>
      </c>
      <c r="O9" t="s">
        <v>42</v>
      </c>
      <c r="P9">
        <v>27.64</v>
      </c>
      <c r="Q9" t="str">
        <f t="shared" si="0"/>
        <v>2018-11</v>
      </c>
      <c r="R9">
        <f t="shared" si="1"/>
        <v>2584.7069059711457</v>
      </c>
      <c r="S9">
        <f t="shared" si="2"/>
        <v>18.396490433958334</v>
      </c>
      <c r="T9" t="str">
        <f t="shared" si="3"/>
        <v>Uttar Pradesh</v>
      </c>
      <c r="U9" t="str">
        <f t="shared" si="4"/>
        <v>Varanasi</v>
      </c>
      <c r="V9" t="str">
        <f t="shared" si="5"/>
        <v>Cotton</v>
      </c>
      <c r="W9" t="str">
        <f t="shared" si="6"/>
        <v>Urea</v>
      </c>
      <c r="X9" t="str">
        <f t="shared" si="7"/>
        <v>Cash</v>
      </c>
    </row>
    <row r="10" spans="1:24" x14ac:dyDescent="0.25">
      <c r="A10" t="s">
        <v>55</v>
      </c>
      <c r="B10" s="1">
        <v>41035</v>
      </c>
      <c r="C10">
        <v>2012</v>
      </c>
      <c r="D10" t="s">
        <v>44</v>
      </c>
      <c r="E10" t="s">
        <v>45</v>
      </c>
      <c r="F10" t="s">
        <v>19</v>
      </c>
      <c r="G10" t="s">
        <v>56</v>
      </c>
      <c r="H10">
        <v>79.42</v>
      </c>
      <c r="I10">
        <v>280.58999999999997</v>
      </c>
      <c r="J10">
        <v>3532.96</v>
      </c>
      <c r="K10" t="s">
        <v>21</v>
      </c>
      <c r="L10" t="s">
        <v>22</v>
      </c>
      <c r="M10">
        <v>146.19</v>
      </c>
      <c r="N10">
        <v>795.89</v>
      </c>
      <c r="O10" t="s">
        <v>52</v>
      </c>
      <c r="P10">
        <v>27.94</v>
      </c>
      <c r="Q10" t="str">
        <f t="shared" si="0"/>
        <v>2012-05</v>
      </c>
      <c r="R10">
        <f t="shared" si="1"/>
        <v>1429.7403937597378</v>
      </c>
      <c r="S10">
        <f t="shared" si="2"/>
        <v>9.7800150062229818</v>
      </c>
      <c r="T10" t="str">
        <f t="shared" si="3"/>
        <v>West Bengal</v>
      </c>
      <c r="U10" t="str">
        <f t="shared" si="4"/>
        <v>Kolkata</v>
      </c>
      <c r="V10" t="str">
        <f t="shared" si="5"/>
        <v>Rice</v>
      </c>
      <c r="W10" t="str">
        <f t="shared" si="6"/>
        <v>Urea</v>
      </c>
      <c r="X10" t="str">
        <f t="shared" si="7"/>
        <v>Food</v>
      </c>
    </row>
    <row r="11" spans="1:24" x14ac:dyDescent="0.25">
      <c r="A11" t="s">
        <v>57</v>
      </c>
      <c r="B11" s="1">
        <v>40680</v>
      </c>
      <c r="C11">
        <v>2011</v>
      </c>
      <c r="D11" t="s">
        <v>17</v>
      </c>
      <c r="E11" t="s">
        <v>54</v>
      </c>
      <c r="F11" t="s">
        <v>19</v>
      </c>
      <c r="G11" t="s">
        <v>27</v>
      </c>
      <c r="H11">
        <v>75.34</v>
      </c>
      <c r="I11">
        <v>422.78</v>
      </c>
      <c r="J11">
        <v>5611.59</v>
      </c>
      <c r="K11" t="s">
        <v>34</v>
      </c>
      <c r="L11" t="s">
        <v>49</v>
      </c>
      <c r="M11">
        <v>77.89</v>
      </c>
      <c r="N11">
        <v>634.77</v>
      </c>
      <c r="O11" t="s">
        <v>52</v>
      </c>
      <c r="P11">
        <v>20.05</v>
      </c>
      <c r="Q11" t="str">
        <f t="shared" si="0"/>
        <v>2011-05</v>
      </c>
      <c r="R11">
        <f t="shared" si="1"/>
        <v>2270.9334088747701</v>
      </c>
      <c r="S11">
        <f t="shared" si="2"/>
        <v>29.155647822246372</v>
      </c>
      <c r="T11" t="str">
        <f t="shared" si="3"/>
        <v>Uttar Pradesh</v>
      </c>
      <c r="U11" t="str">
        <f t="shared" si="4"/>
        <v>Varanasi</v>
      </c>
      <c r="V11" t="str">
        <f t="shared" si="5"/>
        <v>Pulses</v>
      </c>
      <c r="W11" t="str">
        <f t="shared" si="6"/>
        <v>Npk</v>
      </c>
      <c r="X11" t="str">
        <f t="shared" si="7"/>
        <v>Food</v>
      </c>
    </row>
    <row r="12" spans="1:24" x14ac:dyDescent="0.25">
      <c r="A12" t="s">
        <v>58</v>
      </c>
      <c r="B12" s="1">
        <v>43387</v>
      </c>
      <c r="C12">
        <v>2018</v>
      </c>
      <c r="D12" t="s">
        <v>59</v>
      </c>
      <c r="E12" t="s">
        <v>60</v>
      </c>
      <c r="F12" t="s">
        <v>33</v>
      </c>
      <c r="G12" t="s">
        <v>39</v>
      </c>
      <c r="H12">
        <v>30.55</v>
      </c>
      <c r="I12">
        <v>147.66999999999999</v>
      </c>
      <c r="J12">
        <v>4833.7</v>
      </c>
      <c r="K12" t="s">
        <v>40</v>
      </c>
      <c r="L12" t="s">
        <v>22</v>
      </c>
      <c r="M12">
        <v>88.21</v>
      </c>
      <c r="N12">
        <v>962.51</v>
      </c>
      <c r="O12" t="s">
        <v>61</v>
      </c>
      <c r="P12">
        <v>34.299999999999997</v>
      </c>
      <c r="Q12" t="str">
        <f t="shared" si="0"/>
        <v>2018-10</v>
      </c>
      <c r="R12">
        <f t="shared" si="1"/>
        <v>1956.1320086602861</v>
      </c>
      <c r="S12">
        <f t="shared" si="2"/>
        <v>22.175853176060382</v>
      </c>
      <c r="T12" t="str">
        <f t="shared" si="3"/>
        <v>Bihar</v>
      </c>
      <c r="U12" t="str">
        <f t="shared" si="4"/>
        <v>Patna</v>
      </c>
      <c r="V12" t="str">
        <f t="shared" si="5"/>
        <v>Cotton</v>
      </c>
      <c r="W12" t="str">
        <f t="shared" si="6"/>
        <v>Urea</v>
      </c>
      <c r="X12" t="str">
        <f t="shared" si="7"/>
        <v>Cash</v>
      </c>
    </row>
    <row r="13" spans="1:24" x14ac:dyDescent="0.25">
      <c r="A13" t="s">
        <v>62</v>
      </c>
      <c r="B13" s="1">
        <v>42908</v>
      </c>
      <c r="C13">
        <v>2017</v>
      </c>
      <c r="D13" t="s">
        <v>59</v>
      </c>
      <c r="E13" t="s">
        <v>63</v>
      </c>
      <c r="F13" t="s">
        <v>33</v>
      </c>
      <c r="G13" t="s">
        <v>64</v>
      </c>
      <c r="H13">
        <v>92.98</v>
      </c>
      <c r="I13">
        <v>583.20000000000005</v>
      </c>
      <c r="J13">
        <v>6272.33</v>
      </c>
      <c r="K13" t="s">
        <v>34</v>
      </c>
      <c r="L13" t="s">
        <v>29</v>
      </c>
      <c r="M13">
        <v>109.86</v>
      </c>
      <c r="N13">
        <v>440.87</v>
      </c>
      <c r="O13" t="s">
        <v>61</v>
      </c>
      <c r="P13">
        <v>34.200000000000003</v>
      </c>
      <c r="Q13" t="str">
        <f t="shared" si="0"/>
        <v>2017-06</v>
      </c>
      <c r="R13">
        <f t="shared" si="1"/>
        <v>2538.3258129135388</v>
      </c>
      <c r="S13">
        <f t="shared" si="2"/>
        <v>23.105095693733286</v>
      </c>
      <c r="T13" t="str">
        <f t="shared" si="3"/>
        <v>Bihar</v>
      </c>
      <c r="U13" t="str">
        <f t="shared" si="4"/>
        <v>Gaya</v>
      </c>
      <c r="V13" t="str">
        <f t="shared" si="5"/>
        <v>Wheat</v>
      </c>
      <c r="W13" t="str">
        <f t="shared" si="6"/>
        <v>Compost</v>
      </c>
      <c r="X13" t="str">
        <f t="shared" si="7"/>
        <v>Food</v>
      </c>
    </row>
    <row r="14" spans="1:24" x14ac:dyDescent="0.25">
      <c r="A14" t="s">
        <v>65</v>
      </c>
      <c r="B14" s="1">
        <v>44711</v>
      </c>
      <c r="C14">
        <v>2022</v>
      </c>
      <c r="D14" t="s">
        <v>44</v>
      </c>
      <c r="E14" t="s">
        <v>45</v>
      </c>
      <c r="F14" t="s">
        <v>19</v>
      </c>
      <c r="G14" t="s">
        <v>56</v>
      </c>
      <c r="H14">
        <v>13.71</v>
      </c>
      <c r="I14">
        <v>52.81</v>
      </c>
      <c r="J14">
        <v>3851.69</v>
      </c>
      <c r="K14" t="s">
        <v>40</v>
      </c>
      <c r="L14" t="s">
        <v>47</v>
      </c>
      <c r="M14">
        <v>116.26</v>
      </c>
      <c r="N14">
        <v>1072.43</v>
      </c>
      <c r="O14" t="s">
        <v>52</v>
      </c>
      <c r="P14">
        <v>34.47</v>
      </c>
      <c r="Q14" t="str">
        <f t="shared" si="0"/>
        <v>2022-05</v>
      </c>
      <c r="R14">
        <f t="shared" si="1"/>
        <v>1558.7260476315737</v>
      </c>
      <c r="S14">
        <f t="shared" si="2"/>
        <v>13.407242797450316</v>
      </c>
      <c r="T14" t="str">
        <f t="shared" si="3"/>
        <v>West Bengal</v>
      </c>
      <c r="U14" t="str">
        <f t="shared" si="4"/>
        <v>Kolkata</v>
      </c>
      <c r="V14" t="str">
        <f t="shared" si="5"/>
        <v>Rice</v>
      </c>
      <c r="W14" t="str">
        <f t="shared" si="6"/>
        <v>Vermicompost</v>
      </c>
      <c r="X14" t="str">
        <f t="shared" si="7"/>
        <v>Food</v>
      </c>
    </row>
    <row r="15" spans="1:24" x14ac:dyDescent="0.25">
      <c r="A15" t="s">
        <v>66</v>
      </c>
      <c r="B15" s="1">
        <v>44364</v>
      </c>
      <c r="C15">
        <v>2021</v>
      </c>
      <c r="D15" t="s">
        <v>44</v>
      </c>
      <c r="E15" t="s">
        <v>67</v>
      </c>
      <c r="F15" t="s">
        <v>33</v>
      </c>
      <c r="G15" t="s">
        <v>39</v>
      </c>
      <c r="H15">
        <v>31.86</v>
      </c>
      <c r="I15">
        <v>222.09</v>
      </c>
      <c r="J15">
        <v>6970.9</v>
      </c>
      <c r="K15" t="s">
        <v>34</v>
      </c>
      <c r="L15" t="s">
        <v>49</v>
      </c>
      <c r="M15">
        <v>159.53</v>
      </c>
      <c r="N15">
        <v>717.58</v>
      </c>
      <c r="O15" t="s">
        <v>23</v>
      </c>
      <c r="P15">
        <v>23.72</v>
      </c>
      <c r="Q15" t="str">
        <f t="shared" si="0"/>
        <v>2021-06</v>
      </c>
      <c r="R15">
        <f t="shared" si="1"/>
        <v>2821.0274984318407</v>
      </c>
      <c r="S15">
        <f t="shared" si="2"/>
        <v>17.683366755041941</v>
      </c>
      <c r="T15" t="str">
        <f t="shared" si="3"/>
        <v>West Bengal</v>
      </c>
      <c r="U15" t="str">
        <f t="shared" si="4"/>
        <v>Darjeeling</v>
      </c>
      <c r="V15" t="str">
        <f t="shared" si="5"/>
        <v>Cotton</v>
      </c>
      <c r="W15" t="str">
        <f t="shared" si="6"/>
        <v>Npk</v>
      </c>
      <c r="X15" t="str">
        <f t="shared" si="7"/>
        <v>Cash</v>
      </c>
    </row>
    <row r="16" spans="1:24" x14ac:dyDescent="0.25">
      <c r="A16" t="s">
        <v>68</v>
      </c>
      <c r="B16" s="1">
        <v>43312</v>
      </c>
      <c r="C16">
        <v>2018</v>
      </c>
      <c r="D16" t="s">
        <v>25</v>
      </c>
      <c r="E16" t="s">
        <v>69</v>
      </c>
      <c r="F16" t="s">
        <v>33</v>
      </c>
      <c r="G16" t="s">
        <v>27</v>
      </c>
      <c r="H16">
        <v>22.8</v>
      </c>
      <c r="I16">
        <v>32.51</v>
      </c>
      <c r="J16">
        <v>1425.96</v>
      </c>
      <c r="K16" t="s">
        <v>21</v>
      </c>
      <c r="L16" t="s">
        <v>49</v>
      </c>
      <c r="M16">
        <v>107.24</v>
      </c>
      <c r="N16">
        <v>1105.42</v>
      </c>
      <c r="O16" t="s">
        <v>70</v>
      </c>
      <c r="P16">
        <v>21.06</v>
      </c>
      <c r="Q16" t="str">
        <f t="shared" si="0"/>
        <v>2018-07</v>
      </c>
      <c r="R16">
        <f t="shared" si="1"/>
        <v>577.06642925072344</v>
      </c>
      <c r="S16">
        <f t="shared" si="2"/>
        <v>5.3810744987945123</v>
      </c>
      <c r="T16" t="str">
        <f t="shared" si="3"/>
        <v>Punjab</v>
      </c>
      <c r="U16" t="str">
        <f t="shared" si="4"/>
        <v>Patiala</v>
      </c>
      <c r="V16" t="str">
        <f t="shared" si="5"/>
        <v>Pulses</v>
      </c>
      <c r="W16" t="str">
        <f t="shared" si="6"/>
        <v>Npk</v>
      </c>
      <c r="X16" t="str">
        <f t="shared" si="7"/>
        <v>Food</v>
      </c>
    </row>
    <row r="17" spans="1:24" x14ac:dyDescent="0.25">
      <c r="A17" t="s">
        <v>71</v>
      </c>
      <c r="B17" s="1">
        <v>41371</v>
      </c>
      <c r="C17">
        <v>2013</v>
      </c>
      <c r="D17" t="s">
        <v>17</v>
      </c>
      <c r="E17" t="s">
        <v>72</v>
      </c>
      <c r="F17" t="s">
        <v>19</v>
      </c>
      <c r="G17" t="s">
        <v>56</v>
      </c>
      <c r="H17">
        <v>72.61</v>
      </c>
      <c r="I17">
        <v>457.03</v>
      </c>
      <c r="J17">
        <v>6294.3</v>
      </c>
      <c r="K17" t="s">
        <v>28</v>
      </c>
      <c r="L17" t="s">
        <v>29</v>
      </c>
      <c r="M17">
        <v>110.75</v>
      </c>
      <c r="N17">
        <v>672.97</v>
      </c>
      <c r="O17" t="s">
        <v>52</v>
      </c>
      <c r="P17">
        <v>22.86</v>
      </c>
      <c r="Q17" t="str">
        <f t="shared" si="0"/>
        <v>2013-04</v>
      </c>
      <c r="R17">
        <f t="shared" si="1"/>
        <v>2547.2167701989033</v>
      </c>
      <c r="S17">
        <f t="shared" si="2"/>
        <v>22.999699956649241</v>
      </c>
      <c r="T17" t="str">
        <f t="shared" si="3"/>
        <v>Uttar Pradesh</v>
      </c>
      <c r="U17" t="str">
        <f t="shared" si="4"/>
        <v>Kanpur</v>
      </c>
      <c r="V17" t="str">
        <f t="shared" si="5"/>
        <v>Rice</v>
      </c>
      <c r="W17" t="str">
        <f t="shared" si="6"/>
        <v>Compost</v>
      </c>
      <c r="X17" t="str">
        <f t="shared" si="7"/>
        <v>Food</v>
      </c>
    </row>
    <row r="18" spans="1:24" x14ac:dyDescent="0.25">
      <c r="A18" t="s">
        <v>73</v>
      </c>
      <c r="B18" s="1">
        <v>42723</v>
      </c>
      <c r="C18">
        <v>2016</v>
      </c>
      <c r="D18" t="s">
        <v>31</v>
      </c>
      <c r="E18" t="s">
        <v>32</v>
      </c>
      <c r="F18" t="s">
        <v>38</v>
      </c>
      <c r="G18" t="s">
        <v>39</v>
      </c>
      <c r="H18">
        <v>6.36</v>
      </c>
      <c r="I18">
        <v>31.3</v>
      </c>
      <c r="J18">
        <v>4920.7299999999996</v>
      </c>
      <c r="K18" t="s">
        <v>21</v>
      </c>
      <c r="L18" t="s">
        <v>47</v>
      </c>
      <c r="M18">
        <v>65.150000000000006</v>
      </c>
      <c r="N18">
        <v>928.21</v>
      </c>
      <c r="O18" t="s">
        <v>23</v>
      </c>
      <c r="P18">
        <v>23.73</v>
      </c>
      <c r="Q18" t="str">
        <f t="shared" si="0"/>
        <v>2016-12</v>
      </c>
      <c r="R18">
        <f t="shared" si="1"/>
        <v>1991.3518544748183</v>
      </c>
      <c r="S18">
        <f t="shared" si="2"/>
        <v>30.565646269759295</v>
      </c>
      <c r="T18" t="str">
        <f t="shared" si="3"/>
        <v>Maharashtra</v>
      </c>
      <c r="U18" t="str">
        <f t="shared" si="4"/>
        <v>Pune</v>
      </c>
      <c r="V18" t="str">
        <f t="shared" si="5"/>
        <v>Cotton</v>
      </c>
      <c r="W18" t="str">
        <f t="shared" si="6"/>
        <v>Vermicompost</v>
      </c>
      <c r="X18" t="str">
        <f t="shared" si="7"/>
        <v>Cash</v>
      </c>
    </row>
    <row r="19" spans="1:24" x14ac:dyDescent="0.25">
      <c r="A19" t="s">
        <v>74</v>
      </c>
      <c r="B19" s="1">
        <v>42660</v>
      </c>
      <c r="C19">
        <v>2016</v>
      </c>
      <c r="D19" t="s">
        <v>36</v>
      </c>
      <c r="E19" t="s">
        <v>37</v>
      </c>
      <c r="F19" t="s">
        <v>33</v>
      </c>
      <c r="G19" t="s">
        <v>20</v>
      </c>
      <c r="H19">
        <v>46.8</v>
      </c>
      <c r="I19">
        <v>292.36</v>
      </c>
      <c r="J19">
        <v>6246.92</v>
      </c>
      <c r="K19" t="s">
        <v>21</v>
      </c>
      <c r="L19" t="s">
        <v>22</v>
      </c>
      <c r="M19">
        <v>160.78</v>
      </c>
      <c r="N19">
        <v>1061.3499999999999</v>
      </c>
      <c r="O19" t="s">
        <v>61</v>
      </c>
      <c r="P19">
        <v>21.47</v>
      </c>
      <c r="Q19" t="str">
        <f t="shared" si="0"/>
        <v>2016-10</v>
      </c>
      <c r="R19">
        <f t="shared" si="1"/>
        <v>2528.0427348697922</v>
      </c>
      <c r="S19">
        <f t="shared" si="2"/>
        <v>15.723614472383332</v>
      </c>
      <c r="T19" t="str">
        <f t="shared" si="3"/>
        <v>Karnataka</v>
      </c>
      <c r="U19" t="str">
        <f t="shared" si="4"/>
        <v>Bangalore</v>
      </c>
      <c r="V19" t="str">
        <f t="shared" si="5"/>
        <v>Maize</v>
      </c>
      <c r="W19" t="str">
        <f t="shared" si="6"/>
        <v>Urea</v>
      </c>
      <c r="X19" t="str">
        <f t="shared" si="7"/>
        <v>Food</v>
      </c>
    </row>
    <row r="20" spans="1:24" x14ac:dyDescent="0.25">
      <c r="A20" t="s">
        <v>75</v>
      </c>
      <c r="B20" s="1">
        <v>41330</v>
      </c>
      <c r="C20">
        <v>2012</v>
      </c>
      <c r="D20" t="s">
        <v>25</v>
      </c>
      <c r="E20" t="s">
        <v>26</v>
      </c>
      <c r="F20" t="s">
        <v>38</v>
      </c>
      <c r="G20" t="s">
        <v>46</v>
      </c>
      <c r="H20">
        <v>48.65</v>
      </c>
      <c r="I20">
        <v>301.04000000000002</v>
      </c>
      <c r="J20">
        <v>6187.9</v>
      </c>
      <c r="K20" t="s">
        <v>21</v>
      </c>
      <c r="L20" t="s">
        <v>49</v>
      </c>
      <c r="M20">
        <v>91.16</v>
      </c>
      <c r="N20">
        <v>202.16</v>
      </c>
      <c r="O20" t="s">
        <v>52</v>
      </c>
      <c r="P20">
        <v>23.98</v>
      </c>
      <c r="Q20" t="str">
        <f t="shared" si="0"/>
        <v>2013-02</v>
      </c>
      <c r="R20">
        <f t="shared" si="1"/>
        <v>2504.1581513931324</v>
      </c>
      <c r="S20">
        <f t="shared" si="2"/>
        <v>27.469922678731159</v>
      </c>
      <c r="T20" t="str">
        <f t="shared" si="3"/>
        <v>Punjab</v>
      </c>
      <c r="U20" t="str">
        <f t="shared" si="4"/>
        <v>Ludhiana</v>
      </c>
      <c r="V20" t="str">
        <f t="shared" si="5"/>
        <v>Sugarcane</v>
      </c>
      <c r="W20" t="str">
        <f t="shared" si="6"/>
        <v>Npk</v>
      </c>
      <c r="X20" t="str">
        <f t="shared" si="7"/>
        <v>Cash</v>
      </c>
    </row>
    <row r="21" spans="1:24" x14ac:dyDescent="0.25">
      <c r="A21" t="s">
        <v>76</v>
      </c>
      <c r="B21" s="1">
        <v>44307</v>
      </c>
      <c r="C21">
        <v>2021</v>
      </c>
      <c r="D21" t="s">
        <v>36</v>
      </c>
      <c r="E21" t="s">
        <v>77</v>
      </c>
      <c r="F21" t="s">
        <v>19</v>
      </c>
      <c r="G21" t="s">
        <v>39</v>
      </c>
      <c r="H21">
        <v>72.12</v>
      </c>
      <c r="I21">
        <v>139.1</v>
      </c>
      <c r="J21">
        <v>1928.78</v>
      </c>
      <c r="K21" t="s">
        <v>34</v>
      </c>
      <c r="L21" t="s">
        <v>22</v>
      </c>
      <c r="M21">
        <v>104.43</v>
      </c>
      <c r="N21">
        <v>258.48</v>
      </c>
      <c r="O21" t="s">
        <v>61</v>
      </c>
      <c r="P21">
        <v>20.91</v>
      </c>
      <c r="Q21" t="str">
        <f t="shared" si="0"/>
        <v>2021-04</v>
      </c>
      <c r="R21">
        <f t="shared" si="1"/>
        <v>780.55077800934828</v>
      </c>
      <c r="S21">
        <f t="shared" si="2"/>
        <v>7.4743922053945058</v>
      </c>
      <c r="T21" t="str">
        <f t="shared" si="3"/>
        <v>Karnataka</v>
      </c>
      <c r="U21" t="str">
        <f t="shared" si="4"/>
        <v>Hubli</v>
      </c>
      <c r="V21" t="str">
        <f t="shared" si="5"/>
        <v>Cotton</v>
      </c>
      <c r="W21" t="str">
        <f t="shared" si="6"/>
        <v>Urea</v>
      </c>
      <c r="X21" t="str">
        <f t="shared" si="7"/>
        <v>Cash</v>
      </c>
    </row>
    <row r="22" spans="1:24" x14ac:dyDescent="0.25">
      <c r="A22" t="s">
        <v>78</v>
      </c>
      <c r="B22" s="1">
        <v>42841</v>
      </c>
      <c r="C22">
        <v>2017</v>
      </c>
      <c r="D22" t="s">
        <v>25</v>
      </c>
      <c r="E22" t="s">
        <v>69</v>
      </c>
      <c r="F22" t="s">
        <v>19</v>
      </c>
      <c r="G22" t="s">
        <v>27</v>
      </c>
      <c r="H22">
        <v>16.59</v>
      </c>
      <c r="I22">
        <v>112.23</v>
      </c>
      <c r="J22">
        <v>6764.67</v>
      </c>
      <c r="K22" t="s">
        <v>21</v>
      </c>
      <c r="L22" t="s">
        <v>29</v>
      </c>
      <c r="M22">
        <v>262.83999999999997</v>
      </c>
      <c r="N22">
        <v>268.52</v>
      </c>
      <c r="O22" t="s">
        <v>23</v>
      </c>
      <c r="P22">
        <v>30.13</v>
      </c>
      <c r="Q22" t="str">
        <f t="shared" si="0"/>
        <v>2017-04</v>
      </c>
      <c r="R22">
        <f t="shared" si="1"/>
        <v>2737.5690495943022</v>
      </c>
      <c r="S22">
        <f t="shared" si="2"/>
        <v>10.415344124160335</v>
      </c>
      <c r="T22" t="str">
        <f t="shared" si="3"/>
        <v>Punjab</v>
      </c>
      <c r="U22" t="str">
        <f t="shared" si="4"/>
        <v>Patiala</v>
      </c>
      <c r="V22" t="str">
        <f t="shared" si="5"/>
        <v>Pulses</v>
      </c>
      <c r="W22" t="str">
        <f t="shared" si="6"/>
        <v>Compost</v>
      </c>
      <c r="X22" t="str">
        <f t="shared" si="7"/>
        <v>Food</v>
      </c>
    </row>
    <row r="23" spans="1:24" x14ac:dyDescent="0.25">
      <c r="A23" t="s">
        <v>79</v>
      </c>
      <c r="B23" s="1">
        <v>41390</v>
      </c>
      <c r="C23">
        <v>2013</v>
      </c>
      <c r="D23" t="s">
        <v>25</v>
      </c>
      <c r="E23" t="s">
        <v>69</v>
      </c>
      <c r="F23" t="s">
        <v>19</v>
      </c>
      <c r="G23" t="s">
        <v>27</v>
      </c>
      <c r="H23">
        <v>4.93</v>
      </c>
      <c r="I23">
        <v>7.36</v>
      </c>
      <c r="J23">
        <v>1491.9</v>
      </c>
      <c r="K23" t="s">
        <v>34</v>
      </c>
      <c r="L23" t="s">
        <v>41</v>
      </c>
      <c r="M23">
        <v>283.68</v>
      </c>
      <c r="N23">
        <v>404.26</v>
      </c>
      <c r="O23" t="s">
        <v>70</v>
      </c>
      <c r="P23">
        <v>23.58</v>
      </c>
      <c r="Q23" t="str">
        <f t="shared" si="0"/>
        <v>2013-04</v>
      </c>
      <c r="R23">
        <f t="shared" si="1"/>
        <v>603.7514416948261</v>
      </c>
      <c r="S23">
        <f t="shared" si="2"/>
        <v>2.1282834239101316</v>
      </c>
      <c r="T23" t="str">
        <f t="shared" si="3"/>
        <v>Punjab</v>
      </c>
      <c r="U23" t="str">
        <f t="shared" si="4"/>
        <v>Patiala</v>
      </c>
      <c r="V23" t="str">
        <f t="shared" si="5"/>
        <v>Pulses</v>
      </c>
      <c r="W23" t="str">
        <f t="shared" si="6"/>
        <v>Dap</v>
      </c>
      <c r="X23" t="str">
        <f t="shared" si="7"/>
        <v>Food</v>
      </c>
    </row>
    <row r="24" spans="1:24" x14ac:dyDescent="0.25">
      <c r="A24" t="s">
        <v>80</v>
      </c>
      <c r="B24" s="1">
        <v>41998</v>
      </c>
      <c r="C24">
        <v>2014</v>
      </c>
      <c r="D24" t="s">
        <v>17</v>
      </c>
      <c r="E24" t="s">
        <v>54</v>
      </c>
      <c r="F24" t="s">
        <v>38</v>
      </c>
      <c r="G24" t="s">
        <v>20</v>
      </c>
      <c r="H24">
        <v>92.97</v>
      </c>
      <c r="I24">
        <v>614.94000000000005</v>
      </c>
      <c r="J24">
        <v>6614.41</v>
      </c>
      <c r="K24" t="s">
        <v>21</v>
      </c>
      <c r="L24" t="s">
        <v>47</v>
      </c>
      <c r="M24">
        <v>164.57</v>
      </c>
      <c r="N24">
        <v>1198.45</v>
      </c>
      <c r="O24" t="s">
        <v>23</v>
      </c>
      <c r="P24">
        <v>21.1</v>
      </c>
      <c r="Q24" t="str">
        <f t="shared" si="0"/>
        <v>2014-12</v>
      </c>
      <c r="R24">
        <f t="shared" si="1"/>
        <v>2676.7608911191596</v>
      </c>
      <c r="S24">
        <f t="shared" si="2"/>
        <v>16.265181327818919</v>
      </c>
      <c r="T24" t="str">
        <f t="shared" si="3"/>
        <v>Uttar Pradesh</v>
      </c>
      <c r="U24" t="str">
        <f t="shared" si="4"/>
        <v>Varanasi</v>
      </c>
      <c r="V24" t="str">
        <f t="shared" si="5"/>
        <v>Maize</v>
      </c>
      <c r="W24" t="str">
        <f t="shared" si="6"/>
        <v>Vermicompost</v>
      </c>
      <c r="X24" t="str">
        <f t="shared" si="7"/>
        <v>Food</v>
      </c>
    </row>
    <row r="25" spans="1:24" x14ac:dyDescent="0.25">
      <c r="A25" t="s">
        <v>81</v>
      </c>
      <c r="B25" s="1">
        <v>42297</v>
      </c>
      <c r="C25">
        <v>2015</v>
      </c>
      <c r="D25" t="s">
        <v>31</v>
      </c>
      <c r="E25" t="s">
        <v>82</v>
      </c>
      <c r="F25" t="s">
        <v>33</v>
      </c>
      <c r="G25" t="s">
        <v>56</v>
      </c>
      <c r="H25">
        <v>37.58</v>
      </c>
      <c r="I25">
        <v>73.150000000000006</v>
      </c>
      <c r="J25">
        <v>1946.48</v>
      </c>
      <c r="K25" t="s">
        <v>34</v>
      </c>
      <c r="L25" t="s">
        <v>49</v>
      </c>
      <c r="M25">
        <v>202.92</v>
      </c>
      <c r="N25">
        <v>1187.23</v>
      </c>
      <c r="O25" t="s">
        <v>61</v>
      </c>
      <c r="P25">
        <v>20.12</v>
      </c>
      <c r="Q25" t="str">
        <f t="shared" si="0"/>
        <v>2015-10</v>
      </c>
      <c r="R25">
        <f t="shared" si="1"/>
        <v>787.71372493474439</v>
      </c>
      <c r="S25">
        <f t="shared" si="2"/>
        <v>3.8818929870626082</v>
      </c>
      <c r="T25" t="str">
        <f t="shared" si="3"/>
        <v>Maharashtra</v>
      </c>
      <c r="U25" t="str">
        <f t="shared" si="4"/>
        <v>Nagpur</v>
      </c>
      <c r="V25" t="str">
        <f t="shared" si="5"/>
        <v>Rice</v>
      </c>
      <c r="W25" t="str">
        <f t="shared" si="6"/>
        <v>Npk</v>
      </c>
      <c r="X25" t="str">
        <f t="shared" si="7"/>
        <v>Food</v>
      </c>
    </row>
    <row r="26" spans="1:24" x14ac:dyDescent="0.25">
      <c r="A26" t="s">
        <v>83</v>
      </c>
      <c r="B26" s="1">
        <v>41281</v>
      </c>
      <c r="C26">
        <v>2012</v>
      </c>
      <c r="D26" t="s">
        <v>17</v>
      </c>
      <c r="E26" t="s">
        <v>18</v>
      </c>
      <c r="F26" t="s">
        <v>38</v>
      </c>
      <c r="G26" t="s">
        <v>64</v>
      </c>
      <c r="H26">
        <v>89.08</v>
      </c>
      <c r="I26">
        <v>485.89</v>
      </c>
      <c r="J26">
        <v>5454.5</v>
      </c>
      <c r="K26" t="s">
        <v>40</v>
      </c>
      <c r="L26" t="s">
        <v>47</v>
      </c>
      <c r="M26">
        <v>118.09</v>
      </c>
      <c r="N26">
        <v>804.83</v>
      </c>
      <c r="O26" t="s">
        <v>70</v>
      </c>
      <c r="P26">
        <v>23.05</v>
      </c>
      <c r="Q26" t="str">
        <f t="shared" si="0"/>
        <v>2013-01</v>
      </c>
      <c r="R26">
        <f t="shared" si="1"/>
        <v>2207.3612431962119</v>
      </c>
      <c r="S26">
        <f t="shared" si="2"/>
        <v>18.692194455044557</v>
      </c>
      <c r="T26" t="str">
        <f t="shared" si="3"/>
        <v>Uttar Pradesh</v>
      </c>
      <c r="U26" t="str">
        <f t="shared" si="4"/>
        <v>Lucknow</v>
      </c>
      <c r="V26" t="str">
        <f t="shared" si="5"/>
        <v>Wheat</v>
      </c>
      <c r="W26" t="str">
        <f t="shared" si="6"/>
        <v>Vermicompost</v>
      </c>
      <c r="X26" t="str">
        <f t="shared" si="7"/>
        <v>Food</v>
      </c>
    </row>
    <row r="27" spans="1:24" x14ac:dyDescent="0.25">
      <c r="A27" t="s">
        <v>84</v>
      </c>
      <c r="B27" s="1">
        <v>40443</v>
      </c>
      <c r="C27">
        <v>2010</v>
      </c>
      <c r="D27" t="s">
        <v>36</v>
      </c>
      <c r="E27" t="s">
        <v>51</v>
      </c>
      <c r="F27" t="s">
        <v>33</v>
      </c>
      <c r="G27" t="s">
        <v>39</v>
      </c>
      <c r="H27">
        <v>42.93</v>
      </c>
      <c r="I27">
        <v>114.2</v>
      </c>
      <c r="J27">
        <v>2660.08</v>
      </c>
      <c r="K27" t="s">
        <v>21</v>
      </c>
      <c r="L27" t="s">
        <v>47</v>
      </c>
      <c r="M27">
        <v>133.38999999999999</v>
      </c>
      <c r="N27">
        <v>330.82</v>
      </c>
      <c r="O27" t="s">
        <v>70</v>
      </c>
      <c r="P27">
        <v>22.42</v>
      </c>
      <c r="Q27" t="str">
        <f t="shared" si="0"/>
        <v>2010-09</v>
      </c>
      <c r="R27">
        <f t="shared" si="1"/>
        <v>1076.4978450456283</v>
      </c>
      <c r="S27">
        <f t="shared" si="2"/>
        <v>8.0703039586597836</v>
      </c>
      <c r="T27" t="str">
        <f t="shared" si="3"/>
        <v>Karnataka</v>
      </c>
      <c r="U27" t="str">
        <f t="shared" si="4"/>
        <v>Mysore</v>
      </c>
      <c r="V27" t="str">
        <f t="shared" si="5"/>
        <v>Cotton</v>
      </c>
      <c r="W27" t="str">
        <f t="shared" si="6"/>
        <v>Vermicompost</v>
      </c>
      <c r="X27" t="str">
        <f t="shared" si="7"/>
        <v>Cash</v>
      </c>
    </row>
    <row r="28" spans="1:24" x14ac:dyDescent="0.25">
      <c r="A28" t="s">
        <v>85</v>
      </c>
      <c r="B28" s="1">
        <v>43362</v>
      </c>
      <c r="C28">
        <v>2018</v>
      </c>
      <c r="D28" t="s">
        <v>17</v>
      </c>
      <c r="E28" t="s">
        <v>72</v>
      </c>
      <c r="F28" t="s">
        <v>33</v>
      </c>
      <c r="G28" t="s">
        <v>64</v>
      </c>
      <c r="H28">
        <v>8.4499999999999993</v>
      </c>
      <c r="I28">
        <v>53.22</v>
      </c>
      <c r="J28">
        <v>6298.64</v>
      </c>
      <c r="K28" t="s">
        <v>40</v>
      </c>
      <c r="L28" t="s">
        <v>41</v>
      </c>
      <c r="M28">
        <v>186.4</v>
      </c>
      <c r="N28">
        <v>1034.5999999999999</v>
      </c>
      <c r="O28" t="s">
        <v>61</v>
      </c>
      <c r="P28">
        <v>28.29</v>
      </c>
      <c r="Q28" t="str">
        <f t="shared" si="0"/>
        <v>2018-09</v>
      </c>
      <c r="R28">
        <f t="shared" si="1"/>
        <v>2548.97310859756</v>
      </c>
      <c r="S28">
        <f t="shared" si="2"/>
        <v>13.674748436682188</v>
      </c>
      <c r="T28" t="str">
        <f t="shared" si="3"/>
        <v>Uttar Pradesh</v>
      </c>
      <c r="U28" t="str">
        <f t="shared" si="4"/>
        <v>Kanpur</v>
      </c>
      <c r="V28" t="str">
        <f t="shared" si="5"/>
        <v>Wheat</v>
      </c>
      <c r="W28" t="str">
        <f t="shared" si="6"/>
        <v>Dap</v>
      </c>
      <c r="X28" t="str">
        <f t="shared" si="7"/>
        <v>Food</v>
      </c>
    </row>
    <row r="29" spans="1:24" x14ac:dyDescent="0.25">
      <c r="A29" t="s">
        <v>86</v>
      </c>
      <c r="B29" s="1">
        <v>42195</v>
      </c>
      <c r="C29">
        <v>2015</v>
      </c>
      <c r="D29" t="s">
        <v>25</v>
      </c>
      <c r="E29" t="s">
        <v>87</v>
      </c>
      <c r="F29" t="s">
        <v>33</v>
      </c>
      <c r="G29" t="s">
        <v>20</v>
      </c>
      <c r="H29">
        <v>21.8</v>
      </c>
      <c r="I29">
        <v>54.44</v>
      </c>
      <c r="J29">
        <v>2497.1799999999998</v>
      </c>
      <c r="K29" t="s">
        <v>21</v>
      </c>
      <c r="L29" t="s">
        <v>41</v>
      </c>
      <c r="M29">
        <v>138.41999999999999</v>
      </c>
      <c r="N29">
        <v>759.88</v>
      </c>
      <c r="O29" t="s">
        <v>52</v>
      </c>
      <c r="P29">
        <v>34.61</v>
      </c>
      <c r="Q29" t="str">
        <f t="shared" si="0"/>
        <v>2015-07</v>
      </c>
      <c r="R29">
        <f t="shared" si="1"/>
        <v>1010.574452155966</v>
      </c>
      <c r="S29">
        <f t="shared" si="2"/>
        <v>7.3007835006210522</v>
      </c>
      <c r="T29" t="str">
        <f t="shared" si="3"/>
        <v>Punjab</v>
      </c>
      <c r="U29" t="str">
        <f t="shared" si="4"/>
        <v>Amritsar</v>
      </c>
      <c r="V29" t="str">
        <f t="shared" si="5"/>
        <v>Maize</v>
      </c>
      <c r="W29" t="str">
        <f t="shared" si="6"/>
        <v>Dap</v>
      </c>
      <c r="X29" t="str">
        <f t="shared" si="7"/>
        <v>Food</v>
      </c>
    </row>
    <row r="30" spans="1:24" x14ac:dyDescent="0.25">
      <c r="A30" t="s">
        <v>88</v>
      </c>
      <c r="B30" s="1">
        <v>44740</v>
      </c>
      <c r="C30">
        <v>2022</v>
      </c>
      <c r="D30" t="s">
        <v>44</v>
      </c>
      <c r="E30" t="s">
        <v>45</v>
      </c>
      <c r="F30" t="s">
        <v>33</v>
      </c>
      <c r="G30" t="s">
        <v>46</v>
      </c>
      <c r="H30">
        <v>3.45</v>
      </c>
      <c r="I30">
        <v>18.7</v>
      </c>
      <c r="J30">
        <v>5419.39</v>
      </c>
      <c r="K30" t="s">
        <v>34</v>
      </c>
      <c r="L30" t="s">
        <v>29</v>
      </c>
      <c r="M30">
        <v>245.6</v>
      </c>
      <c r="N30">
        <v>611.71</v>
      </c>
      <c r="O30" t="s">
        <v>42</v>
      </c>
      <c r="P30">
        <v>24</v>
      </c>
      <c r="Q30" t="str">
        <f t="shared" si="0"/>
        <v>2022-06</v>
      </c>
      <c r="R30">
        <f t="shared" si="1"/>
        <v>2193.1527083628421</v>
      </c>
      <c r="S30">
        <f t="shared" si="2"/>
        <v>8.9297748711842111</v>
      </c>
      <c r="T30" t="str">
        <f t="shared" si="3"/>
        <v>West Bengal</v>
      </c>
      <c r="U30" t="str">
        <f t="shared" si="4"/>
        <v>Kolkata</v>
      </c>
      <c r="V30" t="str">
        <f t="shared" si="5"/>
        <v>Sugarcane</v>
      </c>
      <c r="W30" t="str">
        <f t="shared" si="6"/>
        <v>Compost</v>
      </c>
      <c r="X30" t="str">
        <f t="shared" si="7"/>
        <v>Cash</v>
      </c>
    </row>
    <row r="31" spans="1:24" x14ac:dyDescent="0.25">
      <c r="A31" t="s">
        <v>89</v>
      </c>
      <c r="B31" s="1">
        <v>42936</v>
      </c>
      <c r="C31">
        <v>2017</v>
      </c>
      <c r="D31" t="s">
        <v>44</v>
      </c>
      <c r="E31" t="s">
        <v>45</v>
      </c>
      <c r="F31" t="s">
        <v>33</v>
      </c>
      <c r="G31" t="s">
        <v>56</v>
      </c>
      <c r="H31">
        <v>81.84</v>
      </c>
      <c r="I31">
        <v>307.87</v>
      </c>
      <c r="J31">
        <v>3761.82</v>
      </c>
      <c r="K31" t="s">
        <v>34</v>
      </c>
      <c r="L31" t="s">
        <v>29</v>
      </c>
      <c r="M31">
        <v>255.13</v>
      </c>
      <c r="N31">
        <v>1071.32</v>
      </c>
      <c r="O31" t="s">
        <v>42</v>
      </c>
      <c r="P31">
        <v>20.350000000000001</v>
      </c>
      <c r="Q31" t="str">
        <f t="shared" si="0"/>
        <v>2017-07</v>
      </c>
      <c r="R31">
        <f t="shared" si="1"/>
        <v>1522.3568928188422</v>
      </c>
      <c r="S31">
        <f t="shared" si="2"/>
        <v>5.966985038289665</v>
      </c>
      <c r="T31" t="str">
        <f t="shared" si="3"/>
        <v>West Bengal</v>
      </c>
      <c r="U31" t="str">
        <f t="shared" si="4"/>
        <v>Kolkata</v>
      </c>
      <c r="V31" t="str">
        <f t="shared" si="5"/>
        <v>Rice</v>
      </c>
      <c r="W31" t="str">
        <f t="shared" si="6"/>
        <v>Compost</v>
      </c>
      <c r="X31" t="str">
        <f t="shared" si="7"/>
        <v>Food</v>
      </c>
    </row>
    <row r="32" spans="1:24" x14ac:dyDescent="0.25">
      <c r="A32" t="s">
        <v>90</v>
      </c>
      <c r="B32" s="1">
        <v>40915</v>
      </c>
      <c r="C32">
        <v>2011</v>
      </c>
      <c r="D32" t="s">
        <v>31</v>
      </c>
      <c r="E32" t="s">
        <v>32</v>
      </c>
      <c r="F32" t="s">
        <v>38</v>
      </c>
      <c r="G32" t="s">
        <v>20</v>
      </c>
      <c r="H32">
        <v>64.510000000000005</v>
      </c>
      <c r="I32">
        <v>219.21</v>
      </c>
      <c r="J32">
        <v>3398.07</v>
      </c>
      <c r="K32" t="s">
        <v>34</v>
      </c>
      <c r="L32" t="s">
        <v>22</v>
      </c>
      <c r="M32">
        <v>284.81</v>
      </c>
      <c r="N32">
        <v>315.33999999999997</v>
      </c>
      <c r="O32" t="s">
        <v>70</v>
      </c>
      <c r="P32">
        <v>22.68</v>
      </c>
      <c r="Q32" t="str">
        <f t="shared" si="0"/>
        <v>2012-01</v>
      </c>
      <c r="R32">
        <f t="shared" si="1"/>
        <v>1375.1522632079482</v>
      </c>
      <c r="S32">
        <f t="shared" si="2"/>
        <v>4.8283145367365901</v>
      </c>
      <c r="T32" t="str">
        <f t="shared" si="3"/>
        <v>Maharashtra</v>
      </c>
      <c r="U32" t="str">
        <f t="shared" si="4"/>
        <v>Pune</v>
      </c>
      <c r="V32" t="str">
        <f t="shared" si="5"/>
        <v>Maize</v>
      </c>
      <c r="W32" t="str">
        <f t="shared" si="6"/>
        <v>Urea</v>
      </c>
      <c r="X32" t="str">
        <f t="shared" si="7"/>
        <v>Food</v>
      </c>
    </row>
    <row r="33" spans="1:24" x14ac:dyDescent="0.25">
      <c r="A33" t="s">
        <v>91</v>
      </c>
      <c r="B33" s="1">
        <v>42786</v>
      </c>
      <c r="C33">
        <v>2016</v>
      </c>
      <c r="D33" t="s">
        <v>25</v>
      </c>
      <c r="E33" t="s">
        <v>69</v>
      </c>
      <c r="F33" t="s">
        <v>38</v>
      </c>
      <c r="G33" t="s">
        <v>39</v>
      </c>
      <c r="H33">
        <v>78.86</v>
      </c>
      <c r="I33">
        <v>285.33999999999997</v>
      </c>
      <c r="J33">
        <v>3618.36</v>
      </c>
      <c r="K33" t="s">
        <v>21</v>
      </c>
      <c r="L33" t="s">
        <v>22</v>
      </c>
      <c r="M33">
        <v>146.30000000000001</v>
      </c>
      <c r="N33">
        <v>776.59</v>
      </c>
      <c r="O33" t="s">
        <v>70</v>
      </c>
      <c r="P33">
        <v>20.67</v>
      </c>
      <c r="Q33" t="str">
        <f t="shared" si="0"/>
        <v>2017-02</v>
      </c>
      <c r="R33">
        <f t="shared" si="1"/>
        <v>1464.3006009591065</v>
      </c>
      <c r="S33">
        <f t="shared" si="2"/>
        <v>10.008889958708862</v>
      </c>
      <c r="T33" t="str">
        <f t="shared" si="3"/>
        <v>Punjab</v>
      </c>
      <c r="U33" t="str">
        <f t="shared" si="4"/>
        <v>Patiala</v>
      </c>
      <c r="V33" t="str">
        <f t="shared" si="5"/>
        <v>Cotton</v>
      </c>
      <c r="W33" t="str">
        <f t="shared" si="6"/>
        <v>Urea</v>
      </c>
      <c r="X33" t="str">
        <f t="shared" si="7"/>
        <v>Cash</v>
      </c>
    </row>
    <row r="34" spans="1:24" x14ac:dyDescent="0.25">
      <c r="A34" t="s">
        <v>92</v>
      </c>
      <c r="B34" s="1">
        <v>43964</v>
      </c>
      <c r="C34">
        <v>2020</v>
      </c>
      <c r="D34" t="s">
        <v>59</v>
      </c>
      <c r="E34" t="s">
        <v>93</v>
      </c>
      <c r="F34" t="s">
        <v>19</v>
      </c>
      <c r="G34" t="s">
        <v>39</v>
      </c>
      <c r="H34">
        <v>73.97</v>
      </c>
      <c r="I34">
        <v>161.41999999999999</v>
      </c>
      <c r="J34">
        <v>2182.21</v>
      </c>
      <c r="K34" t="s">
        <v>28</v>
      </c>
      <c r="L34" t="s">
        <v>22</v>
      </c>
      <c r="M34">
        <v>67.489999999999995</v>
      </c>
      <c r="N34">
        <v>864.24</v>
      </c>
      <c r="O34" t="s">
        <v>70</v>
      </c>
      <c r="P34">
        <v>29.35</v>
      </c>
      <c r="Q34" t="str">
        <f t="shared" si="0"/>
        <v>2020-05</v>
      </c>
      <c r="R34">
        <f t="shared" si="1"/>
        <v>883.11041864794322</v>
      </c>
      <c r="S34">
        <f t="shared" si="2"/>
        <v>13.085055840093988</v>
      </c>
      <c r="T34" t="str">
        <f t="shared" si="3"/>
        <v>Bihar</v>
      </c>
      <c r="U34" t="str">
        <f t="shared" si="4"/>
        <v>Bhagalpur</v>
      </c>
      <c r="V34" t="str">
        <f t="shared" si="5"/>
        <v>Cotton</v>
      </c>
      <c r="W34" t="str">
        <f t="shared" si="6"/>
        <v>Urea</v>
      </c>
      <c r="X34" t="str">
        <f t="shared" si="7"/>
        <v>Cash</v>
      </c>
    </row>
    <row r="35" spans="1:24" x14ac:dyDescent="0.25">
      <c r="A35" t="s">
        <v>94</v>
      </c>
      <c r="B35" s="1">
        <v>43449</v>
      </c>
      <c r="C35">
        <v>2018</v>
      </c>
      <c r="D35" t="s">
        <v>17</v>
      </c>
      <c r="E35" t="s">
        <v>72</v>
      </c>
      <c r="F35" t="s">
        <v>38</v>
      </c>
      <c r="G35" t="s">
        <v>39</v>
      </c>
      <c r="H35">
        <v>41.43</v>
      </c>
      <c r="I35">
        <v>141.46</v>
      </c>
      <c r="J35">
        <v>3414.4</v>
      </c>
      <c r="K35" t="s">
        <v>34</v>
      </c>
      <c r="L35" t="s">
        <v>47</v>
      </c>
      <c r="M35">
        <v>188.6</v>
      </c>
      <c r="N35">
        <v>391.84</v>
      </c>
      <c r="O35" t="s">
        <v>52</v>
      </c>
      <c r="P35">
        <v>30.16</v>
      </c>
      <c r="Q35" t="str">
        <f t="shared" si="0"/>
        <v>2018-12</v>
      </c>
      <c r="R35">
        <f t="shared" si="1"/>
        <v>1381.7607899475931</v>
      </c>
      <c r="S35">
        <f t="shared" si="2"/>
        <v>7.3264092786192636</v>
      </c>
      <c r="T35" t="str">
        <f t="shared" si="3"/>
        <v>Uttar Pradesh</v>
      </c>
      <c r="U35" t="str">
        <f t="shared" si="4"/>
        <v>Kanpur</v>
      </c>
      <c r="V35" t="str">
        <f t="shared" si="5"/>
        <v>Cotton</v>
      </c>
      <c r="W35" t="str">
        <f t="shared" si="6"/>
        <v>Vermicompost</v>
      </c>
      <c r="X35" t="str">
        <f t="shared" si="7"/>
        <v>Cash</v>
      </c>
    </row>
    <row r="36" spans="1:24" x14ac:dyDescent="0.25">
      <c r="A36" t="s">
        <v>95</v>
      </c>
      <c r="B36" s="1">
        <v>42511</v>
      </c>
      <c r="C36">
        <v>2016</v>
      </c>
      <c r="D36" t="s">
        <v>59</v>
      </c>
      <c r="E36" t="s">
        <v>63</v>
      </c>
      <c r="F36" t="s">
        <v>19</v>
      </c>
      <c r="G36" t="s">
        <v>64</v>
      </c>
      <c r="H36">
        <v>31.08</v>
      </c>
      <c r="I36">
        <v>70.27</v>
      </c>
      <c r="J36">
        <v>2261.1</v>
      </c>
      <c r="K36" t="s">
        <v>34</v>
      </c>
      <c r="L36" t="s">
        <v>41</v>
      </c>
      <c r="M36">
        <v>166.25</v>
      </c>
      <c r="N36">
        <v>642.16</v>
      </c>
      <c r="O36" t="s">
        <v>42</v>
      </c>
      <c r="P36">
        <v>27.67</v>
      </c>
      <c r="Q36" t="str">
        <f t="shared" si="0"/>
        <v>2016-05</v>
      </c>
      <c r="R36">
        <f t="shared" si="1"/>
        <v>915.03611824932716</v>
      </c>
      <c r="S36">
        <f t="shared" si="2"/>
        <v>5.5039766511237724</v>
      </c>
      <c r="T36" t="str">
        <f t="shared" si="3"/>
        <v>Bihar</v>
      </c>
      <c r="U36" t="str">
        <f t="shared" si="4"/>
        <v>Gaya</v>
      </c>
      <c r="V36" t="str">
        <f t="shared" si="5"/>
        <v>Wheat</v>
      </c>
      <c r="W36" t="str">
        <f t="shared" si="6"/>
        <v>Dap</v>
      </c>
      <c r="X36" t="str">
        <f t="shared" si="7"/>
        <v>Food</v>
      </c>
    </row>
    <row r="37" spans="1:24" x14ac:dyDescent="0.25">
      <c r="A37" t="s">
        <v>96</v>
      </c>
      <c r="B37" s="1">
        <v>41732</v>
      </c>
      <c r="C37">
        <v>2014</v>
      </c>
      <c r="D37" t="s">
        <v>17</v>
      </c>
      <c r="E37" t="s">
        <v>18</v>
      </c>
      <c r="F37" t="s">
        <v>19</v>
      </c>
      <c r="G37" t="s">
        <v>39</v>
      </c>
      <c r="H37">
        <v>63.66</v>
      </c>
      <c r="I37">
        <v>191.69</v>
      </c>
      <c r="J37">
        <v>3011.13</v>
      </c>
      <c r="K37" t="s">
        <v>40</v>
      </c>
      <c r="L37" t="s">
        <v>41</v>
      </c>
      <c r="M37">
        <v>218.2</v>
      </c>
      <c r="N37">
        <v>424.64</v>
      </c>
      <c r="O37" t="s">
        <v>42</v>
      </c>
      <c r="P37">
        <v>22.21</v>
      </c>
      <c r="Q37" t="str">
        <f t="shared" si="0"/>
        <v>2014-04</v>
      </c>
      <c r="R37">
        <f t="shared" si="1"/>
        <v>1218.5629590659842</v>
      </c>
      <c r="S37">
        <f t="shared" si="2"/>
        <v>5.5846148444820543</v>
      </c>
      <c r="T37" t="str">
        <f t="shared" si="3"/>
        <v>Uttar Pradesh</v>
      </c>
      <c r="U37" t="str">
        <f t="shared" si="4"/>
        <v>Lucknow</v>
      </c>
      <c r="V37" t="str">
        <f t="shared" si="5"/>
        <v>Cotton</v>
      </c>
      <c r="W37" t="str">
        <f t="shared" si="6"/>
        <v>Dap</v>
      </c>
      <c r="X37" t="str">
        <f t="shared" si="7"/>
        <v>Cash</v>
      </c>
    </row>
    <row r="38" spans="1:24" x14ac:dyDescent="0.25">
      <c r="A38" t="s">
        <v>97</v>
      </c>
      <c r="B38" s="1">
        <v>44714</v>
      </c>
      <c r="C38">
        <v>2022</v>
      </c>
      <c r="D38" t="s">
        <v>36</v>
      </c>
      <c r="E38" t="s">
        <v>77</v>
      </c>
      <c r="F38" t="s">
        <v>33</v>
      </c>
      <c r="G38" t="s">
        <v>46</v>
      </c>
      <c r="H38">
        <v>42.03</v>
      </c>
      <c r="I38">
        <v>200.84</v>
      </c>
      <c r="J38">
        <v>4778.59</v>
      </c>
      <c r="K38" t="s">
        <v>40</v>
      </c>
      <c r="L38" t="s">
        <v>22</v>
      </c>
      <c r="M38">
        <v>229.59</v>
      </c>
      <c r="N38">
        <v>583.98</v>
      </c>
      <c r="O38" t="s">
        <v>52</v>
      </c>
      <c r="P38">
        <v>23.66</v>
      </c>
      <c r="Q38" t="str">
        <f t="shared" si="0"/>
        <v>2022-06</v>
      </c>
      <c r="R38">
        <f t="shared" si="1"/>
        <v>1933.8297484874852</v>
      </c>
      <c r="S38">
        <f t="shared" si="2"/>
        <v>8.4229702882855744</v>
      </c>
      <c r="T38" t="str">
        <f t="shared" si="3"/>
        <v>Karnataka</v>
      </c>
      <c r="U38" t="str">
        <f t="shared" si="4"/>
        <v>Hubli</v>
      </c>
      <c r="V38" t="str">
        <f t="shared" si="5"/>
        <v>Sugarcane</v>
      </c>
      <c r="W38" t="str">
        <f t="shared" si="6"/>
        <v>Urea</v>
      </c>
      <c r="X38" t="str">
        <f t="shared" si="7"/>
        <v>Cash</v>
      </c>
    </row>
    <row r="39" spans="1:24" x14ac:dyDescent="0.25">
      <c r="A39" t="s">
        <v>98</v>
      </c>
      <c r="B39" s="1">
        <v>41561</v>
      </c>
      <c r="C39">
        <v>2013</v>
      </c>
      <c r="D39" t="s">
        <v>44</v>
      </c>
      <c r="E39" t="s">
        <v>99</v>
      </c>
      <c r="F39" t="s">
        <v>33</v>
      </c>
      <c r="G39" t="s">
        <v>39</v>
      </c>
      <c r="H39">
        <v>52.28</v>
      </c>
      <c r="I39">
        <v>68.03</v>
      </c>
      <c r="J39">
        <v>1301.31</v>
      </c>
      <c r="K39" t="s">
        <v>40</v>
      </c>
      <c r="L39" t="s">
        <v>47</v>
      </c>
      <c r="M39">
        <v>279.37</v>
      </c>
      <c r="N39">
        <v>321.36</v>
      </c>
      <c r="O39" t="s">
        <v>42</v>
      </c>
      <c r="P39">
        <v>32.020000000000003</v>
      </c>
      <c r="Q39" t="str">
        <f t="shared" si="0"/>
        <v>2013-10</v>
      </c>
      <c r="R39">
        <f t="shared" si="1"/>
        <v>526.62228607272209</v>
      </c>
      <c r="S39">
        <f t="shared" si="2"/>
        <v>1.8850352080492612</v>
      </c>
      <c r="T39" t="str">
        <f t="shared" si="3"/>
        <v>West Bengal</v>
      </c>
      <c r="U39" t="str">
        <f t="shared" si="4"/>
        <v>Howrah</v>
      </c>
      <c r="V39" t="str">
        <f t="shared" si="5"/>
        <v>Cotton</v>
      </c>
      <c r="W39" t="str">
        <f t="shared" si="6"/>
        <v>Vermicompost</v>
      </c>
      <c r="X39" t="str">
        <f t="shared" si="7"/>
        <v>Cash</v>
      </c>
    </row>
    <row r="40" spans="1:24" x14ac:dyDescent="0.25">
      <c r="A40" t="s">
        <v>100</v>
      </c>
      <c r="B40" s="1">
        <v>44987</v>
      </c>
      <c r="C40">
        <v>2022</v>
      </c>
      <c r="D40" t="s">
        <v>59</v>
      </c>
      <c r="E40" t="s">
        <v>63</v>
      </c>
      <c r="F40" t="s">
        <v>38</v>
      </c>
      <c r="G40" t="s">
        <v>27</v>
      </c>
      <c r="H40">
        <v>81.69</v>
      </c>
      <c r="I40">
        <v>518.9</v>
      </c>
      <c r="J40">
        <v>6352.12</v>
      </c>
      <c r="K40" t="s">
        <v>28</v>
      </c>
      <c r="L40" t="s">
        <v>29</v>
      </c>
      <c r="M40">
        <v>257.64</v>
      </c>
      <c r="N40">
        <v>747.87</v>
      </c>
      <c r="O40" t="s">
        <v>42</v>
      </c>
      <c r="P40">
        <v>31.15</v>
      </c>
      <c r="Q40" t="str">
        <f t="shared" si="0"/>
        <v>2023-03</v>
      </c>
      <c r="R40">
        <f t="shared" si="1"/>
        <v>2570.6157301551971</v>
      </c>
      <c r="S40">
        <f t="shared" si="2"/>
        <v>9.97754902249339</v>
      </c>
      <c r="T40" t="str">
        <f t="shared" si="3"/>
        <v>Bihar</v>
      </c>
      <c r="U40" t="str">
        <f t="shared" si="4"/>
        <v>Gaya</v>
      </c>
      <c r="V40" t="str">
        <f t="shared" si="5"/>
        <v>Pulses</v>
      </c>
      <c r="W40" t="str">
        <f t="shared" si="6"/>
        <v>Compost</v>
      </c>
      <c r="X40" t="str">
        <f t="shared" si="7"/>
        <v>Food</v>
      </c>
    </row>
    <row r="41" spans="1:24" x14ac:dyDescent="0.25">
      <c r="A41" t="s">
        <v>101</v>
      </c>
      <c r="B41" s="1">
        <v>44274</v>
      </c>
      <c r="C41">
        <v>2020</v>
      </c>
      <c r="D41" t="s">
        <v>31</v>
      </c>
      <c r="E41" t="s">
        <v>82</v>
      </c>
      <c r="F41" t="s">
        <v>38</v>
      </c>
      <c r="G41" t="s">
        <v>27</v>
      </c>
      <c r="H41">
        <v>48.98</v>
      </c>
      <c r="I41">
        <v>119.29</v>
      </c>
      <c r="J41">
        <v>2435.48</v>
      </c>
      <c r="K41" t="s">
        <v>28</v>
      </c>
      <c r="L41" t="s">
        <v>22</v>
      </c>
      <c r="M41">
        <v>69.37</v>
      </c>
      <c r="N41">
        <v>485.73</v>
      </c>
      <c r="O41" t="s">
        <v>70</v>
      </c>
      <c r="P41">
        <v>25.04</v>
      </c>
      <c r="Q41" t="str">
        <f t="shared" si="0"/>
        <v>2021-03</v>
      </c>
      <c r="R41">
        <f t="shared" si="1"/>
        <v>985.60530948382268</v>
      </c>
      <c r="S41">
        <f t="shared" si="2"/>
        <v>14.207947376154284</v>
      </c>
      <c r="T41" t="str">
        <f t="shared" si="3"/>
        <v>Maharashtra</v>
      </c>
      <c r="U41" t="str">
        <f t="shared" si="4"/>
        <v>Nagpur</v>
      </c>
      <c r="V41" t="str">
        <f t="shared" si="5"/>
        <v>Pulses</v>
      </c>
      <c r="W41" t="str">
        <f t="shared" si="6"/>
        <v>Urea</v>
      </c>
      <c r="X41" t="str">
        <f t="shared" si="7"/>
        <v>Food</v>
      </c>
    </row>
    <row r="42" spans="1:24" x14ac:dyDescent="0.25">
      <c r="A42" t="s">
        <v>102</v>
      </c>
      <c r="B42" s="1">
        <v>41686</v>
      </c>
      <c r="C42">
        <v>2013</v>
      </c>
      <c r="D42" t="s">
        <v>103</v>
      </c>
      <c r="E42" t="s">
        <v>104</v>
      </c>
      <c r="F42" t="s">
        <v>38</v>
      </c>
      <c r="G42" t="s">
        <v>39</v>
      </c>
      <c r="H42">
        <v>16.13</v>
      </c>
      <c r="I42">
        <v>36.840000000000003</v>
      </c>
      <c r="J42">
        <v>2283.7199999999998</v>
      </c>
      <c r="K42" t="s">
        <v>28</v>
      </c>
      <c r="L42" t="s">
        <v>29</v>
      </c>
      <c r="M42">
        <v>151.9</v>
      </c>
      <c r="N42">
        <v>742.61</v>
      </c>
      <c r="O42" t="s">
        <v>52</v>
      </c>
      <c r="P42">
        <v>20.93</v>
      </c>
      <c r="Q42" t="str">
        <f t="shared" si="0"/>
        <v>2014-02</v>
      </c>
      <c r="R42">
        <f t="shared" si="1"/>
        <v>924.19012160822319</v>
      </c>
      <c r="S42">
        <f t="shared" si="2"/>
        <v>6.0842009322463673</v>
      </c>
      <c r="T42" t="str">
        <f t="shared" si="3"/>
        <v>Haryana</v>
      </c>
      <c r="U42" t="str">
        <f t="shared" si="4"/>
        <v>Gurgaon</v>
      </c>
      <c r="V42" t="str">
        <f t="shared" si="5"/>
        <v>Cotton</v>
      </c>
      <c r="W42" t="str">
        <f t="shared" si="6"/>
        <v>Compost</v>
      </c>
      <c r="X42" t="str">
        <f t="shared" si="7"/>
        <v>Cash</v>
      </c>
    </row>
    <row r="43" spans="1:24" x14ac:dyDescent="0.25">
      <c r="A43" t="s">
        <v>105</v>
      </c>
      <c r="B43" s="1">
        <v>44487</v>
      </c>
      <c r="C43">
        <v>2021</v>
      </c>
      <c r="D43" t="s">
        <v>44</v>
      </c>
      <c r="E43" t="s">
        <v>67</v>
      </c>
      <c r="F43" t="s">
        <v>33</v>
      </c>
      <c r="G43" t="s">
        <v>27</v>
      </c>
      <c r="H43">
        <v>38.659999999999997</v>
      </c>
      <c r="I43">
        <v>40.03</v>
      </c>
      <c r="J43">
        <v>1035.3800000000001</v>
      </c>
      <c r="K43" t="s">
        <v>34</v>
      </c>
      <c r="L43" t="s">
        <v>47</v>
      </c>
      <c r="M43">
        <v>124.65</v>
      </c>
      <c r="N43">
        <v>589.99</v>
      </c>
      <c r="O43" t="s">
        <v>52</v>
      </c>
      <c r="P43">
        <v>28.07</v>
      </c>
      <c r="Q43" t="str">
        <f t="shared" si="0"/>
        <v>2021-10</v>
      </c>
      <c r="R43">
        <f t="shared" si="1"/>
        <v>419.00406709698314</v>
      </c>
      <c r="S43">
        <f t="shared" si="2"/>
        <v>3.3614445816043572</v>
      </c>
      <c r="T43" t="str">
        <f t="shared" si="3"/>
        <v>West Bengal</v>
      </c>
      <c r="U43" t="str">
        <f t="shared" si="4"/>
        <v>Darjeeling</v>
      </c>
      <c r="V43" t="str">
        <f t="shared" si="5"/>
        <v>Pulses</v>
      </c>
      <c r="W43" t="str">
        <f t="shared" si="6"/>
        <v>Vermicompost</v>
      </c>
      <c r="X43" t="str">
        <f t="shared" si="7"/>
        <v>Food</v>
      </c>
    </row>
    <row r="44" spans="1:24" x14ac:dyDescent="0.25">
      <c r="A44" t="s">
        <v>106</v>
      </c>
      <c r="B44" s="1">
        <v>41715</v>
      </c>
      <c r="C44">
        <v>2013</v>
      </c>
      <c r="D44" t="s">
        <v>103</v>
      </c>
      <c r="E44" t="s">
        <v>107</v>
      </c>
      <c r="F44" t="s">
        <v>38</v>
      </c>
      <c r="G44" t="s">
        <v>46</v>
      </c>
      <c r="H44">
        <v>49.08</v>
      </c>
      <c r="I44">
        <v>163.59</v>
      </c>
      <c r="J44">
        <v>3333.14</v>
      </c>
      <c r="K44" t="s">
        <v>28</v>
      </c>
      <c r="L44" t="s">
        <v>22</v>
      </c>
      <c r="M44">
        <v>231.05</v>
      </c>
      <c r="N44">
        <v>1040.51</v>
      </c>
      <c r="O44" t="s">
        <v>42</v>
      </c>
      <c r="P44">
        <v>34.71</v>
      </c>
      <c r="Q44" t="str">
        <f t="shared" si="0"/>
        <v>2014-03</v>
      </c>
      <c r="R44">
        <f t="shared" si="1"/>
        <v>1348.8759838934866</v>
      </c>
      <c r="S44">
        <f t="shared" si="2"/>
        <v>5.8380263315017809</v>
      </c>
      <c r="T44" t="str">
        <f t="shared" si="3"/>
        <v>Haryana</v>
      </c>
      <c r="U44" t="str">
        <f t="shared" si="4"/>
        <v>Faridabad</v>
      </c>
      <c r="V44" t="str">
        <f t="shared" si="5"/>
        <v>Sugarcane</v>
      </c>
      <c r="W44" t="str">
        <f t="shared" si="6"/>
        <v>Urea</v>
      </c>
      <c r="X44" t="str">
        <f t="shared" si="7"/>
        <v>Cash</v>
      </c>
    </row>
    <row r="45" spans="1:24" x14ac:dyDescent="0.25">
      <c r="A45" t="s">
        <v>108</v>
      </c>
      <c r="B45" s="1">
        <v>43576</v>
      </c>
      <c r="C45">
        <v>2019</v>
      </c>
      <c r="D45" t="s">
        <v>36</v>
      </c>
      <c r="E45" t="s">
        <v>77</v>
      </c>
      <c r="F45" t="s">
        <v>19</v>
      </c>
      <c r="G45" t="s">
        <v>64</v>
      </c>
      <c r="H45">
        <v>9.31</v>
      </c>
      <c r="I45">
        <v>33.25</v>
      </c>
      <c r="J45">
        <v>3571.68</v>
      </c>
      <c r="K45" t="s">
        <v>28</v>
      </c>
      <c r="L45" t="s">
        <v>49</v>
      </c>
      <c r="M45">
        <v>95.43</v>
      </c>
      <c r="N45">
        <v>460.16</v>
      </c>
      <c r="O45" t="s">
        <v>70</v>
      </c>
      <c r="P45">
        <v>23.17</v>
      </c>
      <c r="Q45" t="str">
        <f t="shared" si="0"/>
        <v>2019-04</v>
      </c>
      <c r="R45">
        <f t="shared" si="1"/>
        <v>1445.4098460168755</v>
      </c>
      <c r="S45">
        <f t="shared" si="2"/>
        <v>15.146283621679506</v>
      </c>
      <c r="T45" t="str">
        <f t="shared" si="3"/>
        <v>Karnataka</v>
      </c>
      <c r="U45" t="str">
        <f t="shared" si="4"/>
        <v>Hubli</v>
      </c>
      <c r="V45" t="str">
        <f t="shared" si="5"/>
        <v>Wheat</v>
      </c>
      <c r="W45" t="str">
        <f t="shared" si="6"/>
        <v>Npk</v>
      </c>
      <c r="X45" t="str">
        <f t="shared" si="7"/>
        <v>Food</v>
      </c>
    </row>
    <row r="46" spans="1:24" x14ac:dyDescent="0.25">
      <c r="A46" t="s">
        <v>109</v>
      </c>
      <c r="B46" s="1">
        <v>41954</v>
      </c>
      <c r="C46">
        <v>2014</v>
      </c>
      <c r="D46" t="s">
        <v>44</v>
      </c>
      <c r="E46" t="s">
        <v>99</v>
      </c>
      <c r="F46" t="s">
        <v>38</v>
      </c>
      <c r="G46" t="s">
        <v>20</v>
      </c>
      <c r="H46">
        <v>83.66</v>
      </c>
      <c r="I46">
        <v>319.74</v>
      </c>
      <c r="J46">
        <v>3821.84</v>
      </c>
      <c r="K46" t="s">
        <v>21</v>
      </c>
      <c r="L46" t="s">
        <v>22</v>
      </c>
      <c r="M46">
        <v>299.98</v>
      </c>
      <c r="N46">
        <v>549.96</v>
      </c>
      <c r="O46" t="s">
        <v>23</v>
      </c>
      <c r="P46">
        <v>31.72</v>
      </c>
      <c r="Q46" t="str">
        <f t="shared" si="0"/>
        <v>2014-11</v>
      </c>
      <c r="R46">
        <f t="shared" si="1"/>
        <v>1546.6461625624736</v>
      </c>
      <c r="S46">
        <f t="shared" si="2"/>
        <v>5.155830930603619</v>
      </c>
      <c r="T46" t="str">
        <f t="shared" si="3"/>
        <v>West Bengal</v>
      </c>
      <c r="U46" t="str">
        <f t="shared" si="4"/>
        <v>Howrah</v>
      </c>
      <c r="V46" t="str">
        <f t="shared" si="5"/>
        <v>Maize</v>
      </c>
      <c r="W46" t="str">
        <f t="shared" si="6"/>
        <v>Urea</v>
      </c>
      <c r="X46" t="str">
        <f t="shared" si="7"/>
        <v>Food</v>
      </c>
    </row>
    <row r="47" spans="1:24" x14ac:dyDescent="0.25">
      <c r="A47" t="s">
        <v>110</v>
      </c>
      <c r="B47" s="1">
        <v>40279</v>
      </c>
      <c r="C47">
        <v>2010</v>
      </c>
      <c r="D47" t="s">
        <v>103</v>
      </c>
      <c r="E47" t="s">
        <v>104</v>
      </c>
      <c r="F47" t="s">
        <v>19</v>
      </c>
      <c r="G47" t="s">
        <v>56</v>
      </c>
      <c r="H47">
        <v>24.62</v>
      </c>
      <c r="I47">
        <v>94.57</v>
      </c>
      <c r="J47">
        <v>3841.37</v>
      </c>
      <c r="K47" t="s">
        <v>21</v>
      </c>
      <c r="L47" t="s">
        <v>47</v>
      </c>
      <c r="M47">
        <v>190.99</v>
      </c>
      <c r="N47">
        <v>417.96</v>
      </c>
      <c r="O47" t="s">
        <v>70</v>
      </c>
      <c r="P47">
        <v>31.5</v>
      </c>
      <c r="Q47" t="str">
        <f t="shared" si="0"/>
        <v>2010-04</v>
      </c>
      <c r="R47">
        <f t="shared" si="1"/>
        <v>1554.5496853564275</v>
      </c>
      <c r="S47">
        <f t="shared" si="2"/>
        <v>8.1394297364072852</v>
      </c>
      <c r="T47" t="str">
        <f t="shared" si="3"/>
        <v>Haryana</v>
      </c>
      <c r="U47" t="str">
        <f t="shared" si="4"/>
        <v>Gurgaon</v>
      </c>
      <c r="V47" t="str">
        <f t="shared" si="5"/>
        <v>Rice</v>
      </c>
      <c r="W47" t="str">
        <f t="shared" si="6"/>
        <v>Vermicompost</v>
      </c>
      <c r="X47" t="str">
        <f t="shared" si="7"/>
        <v>Food</v>
      </c>
    </row>
    <row r="48" spans="1:24" x14ac:dyDescent="0.25">
      <c r="A48" t="s">
        <v>111</v>
      </c>
      <c r="B48" s="1">
        <v>44398</v>
      </c>
      <c r="C48">
        <v>2021</v>
      </c>
      <c r="D48" t="s">
        <v>59</v>
      </c>
      <c r="E48" t="s">
        <v>93</v>
      </c>
      <c r="F48" t="s">
        <v>33</v>
      </c>
      <c r="G48" t="s">
        <v>56</v>
      </c>
      <c r="H48">
        <v>96.51</v>
      </c>
      <c r="I48">
        <v>159.11000000000001</v>
      </c>
      <c r="J48">
        <v>1648.59</v>
      </c>
      <c r="K48" t="s">
        <v>21</v>
      </c>
      <c r="L48" t="s">
        <v>22</v>
      </c>
      <c r="M48">
        <v>282.22000000000003</v>
      </c>
      <c r="N48">
        <v>775.8</v>
      </c>
      <c r="O48" t="s">
        <v>52</v>
      </c>
      <c r="P48">
        <v>25.95</v>
      </c>
      <c r="Q48" t="str">
        <f t="shared" si="0"/>
        <v>2021-07</v>
      </c>
      <c r="R48">
        <f t="shared" si="1"/>
        <v>667.16173286659512</v>
      </c>
      <c r="S48">
        <f t="shared" si="2"/>
        <v>2.3639775099801397</v>
      </c>
      <c r="T48" t="str">
        <f t="shared" si="3"/>
        <v>Bihar</v>
      </c>
      <c r="U48" t="str">
        <f t="shared" si="4"/>
        <v>Bhagalpur</v>
      </c>
      <c r="V48" t="str">
        <f t="shared" si="5"/>
        <v>Rice</v>
      </c>
      <c r="W48" t="str">
        <f t="shared" si="6"/>
        <v>Urea</v>
      </c>
      <c r="X48" t="str">
        <f t="shared" si="7"/>
        <v>Food</v>
      </c>
    </row>
    <row r="49" spans="1:24" x14ac:dyDescent="0.25">
      <c r="A49" t="s">
        <v>112</v>
      </c>
      <c r="B49" s="1">
        <v>44092</v>
      </c>
      <c r="C49">
        <v>2020</v>
      </c>
      <c r="D49" t="s">
        <v>59</v>
      </c>
      <c r="E49" t="s">
        <v>93</v>
      </c>
      <c r="F49" t="s">
        <v>33</v>
      </c>
      <c r="G49" t="s">
        <v>64</v>
      </c>
      <c r="H49">
        <v>70.02</v>
      </c>
      <c r="I49">
        <v>196.72</v>
      </c>
      <c r="J49">
        <v>2809.5</v>
      </c>
      <c r="K49" t="s">
        <v>21</v>
      </c>
      <c r="L49" t="s">
        <v>49</v>
      </c>
      <c r="M49">
        <v>249.06</v>
      </c>
      <c r="N49">
        <v>765.93</v>
      </c>
      <c r="O49" t="s">
        <v>23</v>
      </c>
      <c r="P49">
        <v>25.21</v>
      </c>
      <c r="Q49" t="str">
        <f t="shared" si="0"/>
        <v>2020-09</v>
      </c>
      <c r="R49">
        <f t="shared" si="1"/>
        <v>1136.9660670565145</v>
      </c>
      <c r="S49">
        <f t="shared" si="2"/>
        <v>4.5650287764254172</v>
      </c>
      <c r="T49" t="str">
        <f t="shared" si="3"/>
        <v>Bihar</v>
      </c>
      <c r="U49" t="str">
        <f t="shared" si="4"/>
        <v>Bhagalpur</v>
      </c>
      <c r="V49" t="str">
        <f t="shared" si="5"/>
        <v>Wheat</v>
      </c>
      <c r="W49" t="str">
        <f t="shared" si="6"/>
        <v>Npk</v>
      </c>
      <c r="X49" t="str">
        <f t="shared" si="7"/>
        <v>Food</v>
      </c>
    </row>
    <row r="50" spans="1:24" x14ac:dyDescent="0.25">
      <c r="A50" t="s">
        <v>113</v>
      </c>
      <c r="B50" s="1">
        <v>44247</v>
      </c>
      <c r="C50">
        <v>2020</v>
      </c>
      <c r="D50" t="s">
        <v>25</v>
      </c>
      <c r="E50" t="s">
        <v>69</v>
      </c>
      <c r="F50" t="s">
        <v>38</v>
      </c>
      <c r="G50" t="s">
        <v>64</v>
      </c>
      <c r="H50">
        <v>85.11</v>
      </c>
      <c r="I50">
        <v>505.04</v>
      </c>
      <c r="J50">
        <v>5933.99</v>
      </c>
      <c r="K50" t="s">
        <v>21</v>
      </c>
      <c r="L50" t="s">
        <v>41</v>
      </c>
      <c r="M50">
        <v>158.38</v>
      </c>
      <c r="N50">
        <v>562.19000000000005</v>
      </c>
      <c r="O50" t="s">
        <v>52</v>
      </c>
      <c r="P50">
        <v>30.61</v>
      </c>
      <c r="Q50" t="str">
        <f t="shared" si="0"/>
        <v>2021-02</v>
      </c>
      <c r="R50">
        <f t="shared" si="1"/>
        <v>2401.4042613463912</v>
      </c>
      <c r="S50">
        <f t="shared" si="2"/>
        <v>15.162294868963198</v>
      </c>
      <c r="T50" t="str">
        <f t="shared" si="3"/>
        <v>Punjab</v>
      </c>
      <c r="U50" t="str">
        <f t="shared" si="4"/>
        <v>Patiala</v>
      </c>
      <c r="V50" t="str">
        <f t="shared" si="5"/>
        <v>Wheat</v>
      </c>
      <c r="W50" t="str">
        <f t="shared" si="6"/>
        <v>Dap</v>
      </c>
      <c r="X50" t="str">
        <f t="shared" si="7"/>
        <v>Food</v>
      </c>
    </row>
    <row r="51" spans="1:24" x14ac:dyDescent="0.25">
      <c r="A51" t="s">
        <v>114</v>
      </c>
      <c r="B51" s="1">
        <v>44198</v>
      </c>
      <c r="C51">
        <v>2020</v>
      </c>
      <c r="D51" t="s">
        <v>17</v>
      </c>
      <c r="E51" t="s">
        <v>54</v>
      </c>
      <c r="F51" t="s">
        <v>38</v>
      </c>
      <c r="G51" t="s">
        <v>27</v>
      </c>
      <c r="H51">
        <v>81.010000000000005</v>
      </c>
      <c r="I51">
        <v>342.59</v>
      </c>
      <c r="J51">
        <v>4229.04</v>
      </c>
      <c r="K51" t="s">
        <v>28</v>
      </c>
      <c r="L51" t="s">
        <v>22</v>
      </c>
      <c r="M51">
        <v>166.22</v>
      </c>
      <c r="N51">
        <v>1025.73</v>
      </c>
      <c r="O51" t="s">
        <v>61</v>
      </c>
      <c r="P51">
        <v>24.03</v>
      </c>
      <c r="Q51" t="str">
        <f t="shared" si="0"/>
        <v>2021-01</v>
      </c>
      <c r="R51">
        <f t="shared" si="1"/>
        <v>1711.4344104732806</v>
      </c>
      <c r="S51">
        <f t="shared" si="2"/>
        <v>10.296200279588982</v>
      </c>
      <c r="T51" t="str">
        <f t="shared" si="3"/>
        <v>Uttar Pradesh</v>
      </c>
      <c r="U51" t="str">
        <f t="shared" si="4"/>
        <v>Varanasi</v>
      </c>
      <c r="V51" t="str">
        <f t="shared" si="5"/>
        <v>Pulses</v>
      </c>
      <c r="W51" t="str">
        <f t="shared" si="6"/>
        <v>Urea</v>
      </c>
      <c r="X51" t="str">
        <f t="shared" si="7"/>
        <v>Food</v>
      </c>
    </row>
    <row r="52" spans="1:24" x14ac:dyDescent="0.25">
      <c r="A52" t="s">
        <v>115</v>
      </c>
      <c r="B52" s="1">
        <v>41645</v>
      </c>
      <c r="C52">
        <v>2013</v>
      </c>
      <c r="D52" t="s">
        <v>31</v>
      </c>
      <c r="E52" t="s">
        <v>32</v>
      </c>
      <c r="F52" t="s">
        <v>38</v>
      </c>
      <c r="G52" t="s">
        <v>27</v>
      </c>
      <c r="H52">
        <v>61.42</v>
      </c>
      <c r="I52">
        <v>201.09</v>
      </c>
      <c r="J52">
        <v>3273.94</v>
      </c>
      <c r="K52" t="s">
        <v>21</v>
      </c>
      <c r="L52" t="s">
        <v>49</v>
      </c>
      <c r="M52">
        <v>173.58</v>
      </c>
      <c r="N52">
        <v>525.01</v>
      </c>
      <c r="O52" t="s">
        <v>52</v>
      </c>
      <c r="P52">
        <v>23.18</v>
      </c>
      <c r="Q52" t="str">
        <f t="shared" si="0"/>
        <v>2014-01</v>
      </c>
      <c r="R52">
        <f t="shared" si="1"/>
        <v>1324.9185568887719</v>
      </c>
      <c r="S52">
        <f t="shared" si="2"/>
        <v>7.6328987031269264</v>
      </c>
      <c r="T52" t="str">
        <f t="shared" si="3"/>
        <v>Maharashtra</v>
      </c>
      <c r="U52" t="str">
        <f t="shared" si="4"/>
        <v>Pune</v>
      </c>
      <c r="V52" t="str">
        <f t="shared" si="5"/>
        <v>Pulses</v>
      </c>
      <c r="W52" t="str">
        <f t="shared" si="6"/>
        <v>Npk</v>
      </c>
      <c r="X52" t="str">
        <f t="shared" si="7"/>
        <v>Food</v>
      </c>
    </row>
    <row r="53" spans="1:24" x14ac:dyDescent="0.25">
      <c r="A53" t="s">
        <v>116</v>
      </c>
      <c r="B53" s="1">
        <v>44622</v>
      </c>
      <c r="C53">
        <v>2021</v>
      </c>
      <c r="D53" t="s">
        <v>31</v>
      </c>
      <c r="E53" t="s">
        <v>117</v>
      </c>
      <c r="F53" t="s">
        <v>38</v>
      </c>
      <c r="G53" t="s">
        <v>27</v>
      </c>
      <c r="H53">
        <v>2</v>
      </c>
      <c r="I53">
        <v>13.38</v>
      </c>
      <c r="J53">
        <v>6688.38</v>
      </c>
      <c r="K53" t="s">
        <v>21</v>
      </c>
      <c r="L53" t="s">
        <v>29</v>
      </c>
      <c r="M53">
        <v>110.34</v>
      </c>
      <c r="N53">
        <v>606.42999999999995</v>
      </c>
      <c r="O53" t="s">
        <v>61</v>
      </c>
      <c r="P53">
        <v>31.37</v>
      </c>
      <c r="Q53" t="str">
        <f t="shared" si="0"/>
        <v>2022-03</v>
      </c>
      <c r="R53">
        <f t="shared" si="1"/>
        <v>2706.6955342870442</v>
      </c>
      <c r="S53">
        <f t="shared" si="2"/>
        <v>24.530501488916478</v>
      </c>
      <c r="T53" t="str">
        <f t="shared" si="3"/>
        <v>Maharashtra</v>
      </c>
      <c r="U53" t="str">
        <f t="shared" si="4"/>
        <v>Mumbai</v>
      </c>
      <c r="V53" t="str">
        <f t="shared" si="5"/>
        <v>Pulses</v>
      </c>
      <c r="W53" t="str">
        <f t="shared" si="6"/>
        <v>Compost</v>
      </c>
      <c r="X53" t="str">
        <f t="shared" si="7"/>
        <v>Food</v>
      </c>
    </row>
    <row r="54" spans="1:24" x14ac:dyDescent="0.25">
      <c r="A54" t="s">
        <v>118</v>
      </c>
      <c r="B54" s="1">
        <v>40988</v>
      </c>
      <c r="C54">
        <v>2011</v>
      </c>
      <c r="D54" t="s">
        <v>36</v>
      </c>
      <c r="E54" t="s">
        <v>37</v>
      </c>
      <c r="F54" t="s">
        <v>38</v>
      </c>
      <c r="G54" t="s">
        <v>56</v>
      </c>
      <c r="H54">
        <v>41.04</v>
      </c>
      <c r="I54">
        <v>100.95</v>
      </c>
      <c r="J54">
        <v>2459.83</v>
      </c>
      <c r="K54" t="s">
        <v>34</v>
      </c>
      <c r="L54" t="s">
        <v>49</v>
      </c>
      <c r="M54">
        <v>168.32</v>
      </c>
      <c r="N54">
        <v>730.92</v>
      </c>
      <c r="O54" t="s">
        <v>52</v>
      </c>
      <c r="P54">
        <v>34.950000000000003</v>
      </c>
      <c r="Q54" t="str">
        <f t="shared" si="0"/>
        <v>2012-03</v>
      </c>
      <c r="R54">
        <f t="shared" si="1"/>
        <v>995.45942008457939</v>
      </c>
      <c r="S54">
        <f t="shared" si="2"/>
        <v>5.9140887600081955</v>
      </c>
      <c r="T54" t="str">
        <f t="shared" si="3"/>
        <v>Karnataka</v>
      </c>
      <c r="U54" t="str">
        <f t="shared" si="4"/>
        <v>Bangalore</v>
      </c>
      <c r="V54" t="str">
        <f t="shared" si="5"/>
        <v>Rice</v>
      </c>
      <c r="W54" t="str">
        <f t="shared" si="6"/>
        <v>Npk</v>
      </c>
      <c r="X54" t="str">
        <f t="shared" si="7"/>
        <v>Food</v>
      </c>
    </row>
    <row r="55" spans="1:24" x14ac:dyDescent="0.25">
      <c r="A55" t="s">
        <v>119</v>
      </c>
      <c r="B55" s="1">
        <v>43163</v>
      </c>
      <c r="C55">
        <v>2017</v>
      </c>
      <c r="D55" t="s">
        <v>31</v>
      </c>
      <c r="E55" t="s">
        <v>117</v>
      </c>
      <c r="F55" t="s">
        <v>38</v>
      </c>
      <c r="G55" t="s">
        <v>20</v>
      </c>
      <c r="H55">
        <v>25.89</v>
      </c>
      <c r="I55">
        <v>44.63</v>
      </c>
      <c r="J55">
        <v>1723.94</v>
      </c>
      <c r="K55" t="s">
        <v>40</v>
      </c>
      <c r="L55" t="s">
        <v>49</v>
      </c>
      <c r="M55">
        <v>128.88999999999999</v>
      </c>
      <c r="N55">
        <v>942.88</v>
      </c>
      <c r="O55" t="s">
        <v>42</v>
      </c>
      <c r="P55">
        <v>22.87</v>
      </c>
      <c r="Q55" t="str">
        <f t="shared" si="0"/>
        <v>2018-03</v>
      </c>
      <c r="R55">
        <f t="shared" si="1"/>
        <v>697.65484308290002</v>
      </c>
      <c r="S55">
        <f t="shared" si="2"/>
        <v>5.412792637775623</v>
      </c>
      <c r="T55" t="str">
        <f t="shared" si="3"/>
        <v>Maharashtra</v>
      </c>
      <c r="U55" t="str">
        <f t="shared" si="4"/>
        <v>Mumbai</v>
      </c>
      <c r="V55" t="str">
        <f t="shared" si="5"/>
        <v>Maize</v>
      </c>
      <c r="W55" t="str">
        <f t="shared" si="6"/>
        <v>Npk</v>
      </c>
      <c r="X55" t="str">
        <f t="shared" si="7"/>
        <v>Food</v>
      </c>
    </row>
    <row r="56" spans="1:24" x14ac:dyDescent="0.25">
      <c r="A56" t="s">
        <v>120</v>
      </c>
      <c r="B56" s="1">
        <v>44686</v>
      </c>
      <c r="C56">
        <v>2022</v>
      </c>
      <c r="D56" t="s">
        <v>17</v>
      </c>
      <c r="E56" t="s">
        <v>54</v>
      </c>
      <c r="F56" t="s">
        <v>19</v>
      </c>
      <c r="G56" t="s">
        <v>27</v>
      </c>
      <c r="H56">
        <v>29.02</v>
      </c>
      <c r="I56">
        <v>46.52</v>
      </c>
      <c r="J56">
        <v>1603.16</v>
      </c>
      <c r="K56" t="s">
        <v>40</v>
      </c>
      <c r="L56" t="s">
        <v>41</v>
      </c>
      <c r="M56">
        <v>124.06</v>
      </c>
      <c r="N56">
        <v>560.88</v>
      </c>
      <c r="O56" t="s">
        <v>70</v>
      </c>
      <c r="P56">
        <v>20.21</v>
      </c>
      <c r="Q56" t="str">
        <f t="shared" si="0"/>
        <v>2022-05</v>
      </c>
      <c r="R56">
        <f t="shared" si="1"/>
        <v>648.77683575807862</v>
      </c>
      <c r="S56">
        <f t="shared" si="2"/>
        <v>5.2295408331297644</v>
      </c>
      <c r="T56" t="str">
        <f t="shared" si="3"/>
        <v>Uttar Pradesh</v>
      </c>
      <c r="U56" t="str">
        <f t="shared" si="4"/>
        <v>Varanasi</v>
      </c>
      <c r="V56" t="str">
        <f t="shared" si="5"/>
        <v>Pulses</v>
      </c>
      <c r="W56" t="str">
        <f t="shared" si="6"/>
        <v>Dap</v>
      </c>
      <c r="X56" t="str">
        <f t="shared" si="7"/>
        <v>Food</v>
      </c>
    </row>
    <row r="57" spans="1:24" x14ac:dyDescent="0.25">
      <c r="A57" t="s">
        <v>121</v>
      </c>
      <c r="B57" s="1">
        <v>40297</v>
      </c>
      <c r="C57">
        <v>2010</v>
      </c>
      <c r="D57" t="s">
        <v>31</v>
      </c>
      <c r="E57" t="s">
        <v>82</v>
      </c>
      <c r="F57" t="s">
        <v>19</v>
      </c>
      <c r="G57" t="s">
        <v>20</v>
      </c>
      <c r="H57">
        <v>70.040000000000006</v>
      </c>
      <c r="I57">
        <v>123.11</v>
      </c>
      <c r="J57">
        <v>1757.68</v>
      </c>
      <c r="K57" t="s">
        <v>28</v>
      </c>
      <c r="L57" t="s">
        <v>49</v>
      </c>
      <c r="M57">
        <v>75.650000000000006</v>
      </c>
      <c r="N57">
        <v>212.27</v>
      </c>
      <c r="O57" t="s">
        <v>70</v>
      </c>
      <c r="P57">
        <v>27.04</v>
      </c>
      <c r="Q57" t="str">
        <f t="shared" si="0"/>
        <v>2010-04</v>
      </c>
      <c r="R57">
        <f t="shared" si="1"/>
        <v>711.30895773051941</v>
      </c>
      <c r="S57">
        <f t="shared" si="2"/>
        <v>9.4026299766096404</v>
      </c>
      <c r="T57" t="str">
        <f t="shared" si="3"/>
        <v>Maharashtra</v>
      </c>
      <c r="U57" t="str">
        <f t="shared" si="4"/>
        <v>Nagpur</v>
      </c>
      <c r="V57" t="str">
        <f t="shared" si="5"/>
        <v>Maize</v>
      </c>
      <c r="W57" t="str">
        <f t="shared" si="6"/>
        <v>Npk</v>
      </c>
      <c r="X57" t="str">
        <f t="shared" si="7"/>
        <v>Food</v>
      </c>
    </row>
    <row r="58" spans="1:24" x14ac:dyDescent="0.25">
      <c r="A58" t="s">
        <v>122</v>
      </c>
      <c r="B58" s="1">
        <v>42088</v>
      </c>
      <c r="C58">
        <v>2014</v>
      </c>
      <c r="D58" t="s">
        <v>103</v>
      </c>
      <c r="E58" t="s">
        <v>104</v>
      </c>
      <c r="F58" t="s">
        <v>38</v>
      </c>
      <c r="G58" t="s">
        <v>64</v>
      </c>
      <c r="H58">
        <v>82.39</v>
      </c>
      <c r="I58">
        <v>280.48</v>
      </c>
      <c r="J58">
        <v>3404.24</v>
      </c>
      <c r="K58" t="s">
        <v>21</v>
      </c>
      <c r="L58" t="s">
        <v>49</v>
      </c>
      <c r="M58">
        <v>194.26</v>
      </c>
      <c r="N58">
        <v>886.45</v>
      </c>
      <c r="O58" t="s">
        <v>42</v>
      </c>
      <c r="P58">
        <v>22.24</v>
      </c>
      <c r="Q58" t="str">
        <f t="shared" si="0"/>
        <v>2015-03</v>
      </c>
      <c r="R58">
        <f t="shared" si="1"/>
        <v>1377.6491774751623</v>
      </c>
      <c r="S58">
        <f t="shared" si="2"/>
        <v>7.0917799725891193</v>
      </c>
      <c r="T58" t="str">
        <f t="shared" si="3"/>
        <v>Haryana</v>
      </c>
      <c r="U58" t="str">
        <f t="shared" si="4"/>
        <v>Gurgaon</v>
      </c>
      <c r="V58" t="str">
        <f t="shared" si="5"/>
        <v>Wheat</v>
      </c>
      <c r="W58" t="str">
        <f t="shared" si="6"/>
        <v>Npk</v>
      </c>
      <c r="X58" t="str">
        <f t="shared" si="7"/>
        <v>Food</v>
      </c>
    </row>
    <row r="59" spans="1:24" x14ac:dyDescent="0.25">
      <c r="A59" t="s">
        <v>123</v>
      </c>
      <c r="B59" s="1">
        <v>40671</v>
      </c>
      <c r="C59">
        <v>2011</v>
      </c>
      <c r="D59" t="s">
        <v>25</v>
      </c>
      <c r="E59" t="s">
        <v>26</v>
      </c>
      <c r="F59" t="s">
        <v>19</v>
      </c>
      <c r="G59" t="s">
        <v>46</v>
      </c>
      <c r="H59">
        <v>61.03</v>
      </c>
      <c r="I59">
        <v>350.58</v>
      </c>
      <c r="J59">
        <v>5744.44</v>
      </c>
      <c r="K59" t="s">
        <v>40</v>
      </c>
      <c r="L59" t="s">
        <v>29</v>
      </c>
      <c r="M59">
        <v>243.92</v>
      </c>
      <c r="N59">
        <v>580.38</v>
      </c>
      <c r="O59" t="s">
        <v>52</v>
      </c>
      <c r="P59">
        <v>24.46</v>
      </c>
      <c r="Q59" t="str">
        <f t="shared" si="0"/>
        <v>2011-05</v>
      </c>
      <c r="R59">
        <f t="shared" si="1"/>
        <v>2324.6959794419377</v>
      </c>
      <c r="S59">
        <f t="shared" si="2"/>
        <v>9.5305673148652748</v>
      </c>
      <c r="T59" t="str">
        <f t="shared" si="3"/>
        <v>Punjab</v>
      </c>
      <c r="U59" t="str">
        <f t="shared" si="4"/>
        <v>Ludhiana</v>
      </c>
      <c r="V59" t="str">
        <f t="shared" si="5"/>
        <v>Sugarcane</v>
      </c>
      <c r="W59" t="str">
        <f t="shared" si="6"/>
        <v>Compost</v>
      </c>
      <c r="X59" t="str">
        <f t="shared" si="7"/>
        <v>Cash</v>
      </c>
    </row>
    <row r="60" spans="1:24" x14ac:dyDescent="0.25">
      <c r="A60" t="s">
        <v>124</v>
      </c>
      <c r="B60" s="1">
        <v>43661</v>
      </c>
      <c r="C60">
        <v>2019</v>
      </c>
      <c r="D60" t="s">
        <v>31</v>
      </c>
      <c r="E60" t="s">
        <v>117</v>
      </c>
      <c r="F60" t="s">
        <v>33</v>
      </c>
      <c r="G60" t="s">
        <v>27</v>
      </c>
      <c r="H60">
        <v>96.05</v>
      </c>
      <c r="I60">
        <v>153.24</v>
      </c>
      <c r="J60">
        <v>1595.4</v>
      </c>
      <c r="K60" t="s">
        <v>40</v>
      </c>
      <c r="L60" t="s">
        <v>47</v>
      </c>
      <c r="M60">
        <v>206.38</v>
      </c>
      <c r="N60">
        <v>464.65</v>
      </c>
      <c r="O60" t="s">
        <v>23</v>
      </c>
      <c r="P60">
        <v>22.36</v>
      </c>
      <c r="Q60" t="str">
        <f t="shared" si="0"/>
        <v>2019-07</v>
      </c>
      <c r="R60">
        <f t="shared" si="1"/>
        <v>645.63647032637948</v>
      </c>
      <c r="S60">
        <f t="shared" si="2"/>
        <v>3.128386812318924</v>
      </c>
      <c r="T60" t="str">
        <f t="shared" si="3"/>
        <v>Maharashtra</v>
      </c>
      <c r="U60" t="str">
        <f t="shared" si="4"/>
        <v>Mumbai</v>
      </c>
      <c r="V60" t="str">
        <f t="shared" si="5"/>
        <v>Pulses</v>
      </c>
      <c r="W60" t="str">
        <f t="shared" si="6"/>
        <v>Vermicompost</v>
      </c>
      <c r="X60" t="str">
        <f t="shared" si="7"/>
        <v>Food</v>
      </c>
    </row>
    <row r="61" spans="1:24" x14ac:dyDescent="0.25">
      <c r="A61" t="s">
        <v>125</v>
      </c>
      <c r="B61" s="1">
        <v>40542</v>
      </c>
      <c r="C61">
        <v>2010</v>
      </c>
      <c r="D61" t="s">
        <v>25</v>
      </c>
      <c r="E61" t="s">
        <v>26</v>
      </c>
      <c r="F61" t="s">
        <v>38</v>
      </c>
      <c r="G61" t="s">
        <v>46</v>
      </c>
      <c r="H61">
        <v>69.25</v>
      </c>
      <c r="I61">
        <v>264.5</v>
      </c>
      <c r="J61">
        <v>3819.47</v>
      </c>
      <c r="K61" t="s">
        <v>21</v>
      </c>
      <c r="L61" t="s">
        <v>49</v>
      </c>
      <c r="M61">
        <v>107.87</v>
      </c>
      <c r="N61">
        <v>906.96</v>
      </c>
      <c r="O61" t="s">
        <v>52</v>
      </c>
      <c r="P61">
        <v>21.07</v>
      </c>
      <c r="Q61" t="str">
        <f t="shared" si="0"/>
        <v>2010-12</v>
      </c>
      <c r="R61">
        <f t="shared" si="1"/>
        <v>1545.6870561097508</v>
      </c>
      <c r="S61">
        <f t="shared" si="2"/>
        <v>14.329165255490411</v>
      </c>
      <c r="T61" t="str">
        <f t="shared" si="3"/>
        <v>Punjab</v>
      </c>
      <c r="U61" t="str">
        <f t="shared" si="4"/>
        <v>Ludhiana</v>
      </c>
      <c r="V61" t="str">
        <f t="shared" si="5"/>
        <v>Sugarcane</v>
      </c>
      <c r="W61" t="str">
        <f t="shared" si="6"/>
        <v>Npk</v>
      </c>
      <c r="X61" t="str">
        <f t="shared" si="7"/>
        <v>Cash</v>
      </c>
    </row>
    <row r="62" spans="1:24" x14ac:dyDescent="0.25">
      <c r="A62" t="s">
        <v>126</v>
      </c>
      <c r="B62" s="1">
        <v>43606</v>
      </c>
      <c r="C62">
        <v>2019</v>
      </c>
      <c r="D62" t="s">
        <v>44</v>
      </c>
      <c r="E62" t="s">
        <v>67</v>
      </c>
      <c r="F62" t="s">
        <v>19</v>
      </c>
      <c r="G62" t="s">
        <v>56</v>
      </c>
      <c r="H62">
        <v>43.09</v>
      </c>
      <c r="I62">
        <v>183.88</v>
      </c>
      <c r="J62">
        <v>4267.37</v>
      </c>
      <c r="K62" t="s">
        <v>40</v>
      </c>
      <c r="L62" t="s">
        <v>49</v>
      </c>
      <c r="M62">
        <v>277.10000000000002</v>
      </c>
      <c r="N62">
        <v>1026.6300000000001</v>
      </c>
      <c r="O62" t="s">
        <v>23</v>
      </c>
      <c r="P62">
        <v>20.89</v>
      </c>
      <c r="Q62" t="str">
        <f t="shared" si="0"/>
        <v>2019-05</v>
      </c>
      <c r="R62">
        <f t="shared" si="1"/>
        <v>1726.9460350862994</v>
      </c>
      <c r="S62">
        <f t="shared" si="2"/>
        <v>6.2322123243821697</v>
      </c>
      <c r="T62" t="str">
        <f t="shared" si="3"/>
        <v>West Bengal</v>
      </c>
      <c r="U62" t="str">
        <f t="shared" si="4"/>
        <v>Darjeeling</v>
      </c>
      <c r="V62" t="str">
        <f t="shared" si="5"/>
        <v>Rice</v>
      </c>
      <c r="W62" t="str">
        <f t="shared" si="6"/>
        <v>Npk</v>
      </c>
      <c r="X62" t="str">
        <f t="shared" si="7"/>
        <v>Food</v>
      </c>
    </row>
    <row r="63" spans="1:24" x14ac:dyDescent="0.25">
      <c r="A63" t="s">
        <v>127</v>
      </c>
      <c r="B63" s="1">
        <v>43780</v>
      </c>
      <c r="C63">
        <v>2019</v>
      </c>
      <c r="D63" t="s">
        <v>59</v>
      </c>
      <c r="E63" t="s">
        <v>93</v>
      </c>
      <c r="F63" t="s">
        <v>38</v>
      </c>
      <c r="G63" t="s">
        <v>46</v>
      </c>
      <c r="H63">
        <v>13.31</v>
      </c>
      <c r="I63">
        <v>68.31</v>
      </c>
      <c r="J63">
        <v>5132.07</v>
      </c>
      <c r="K63" t="s">
        <v>28</v>
      </c>
      <c r="L63" t="s">
        <v>29</v>
      </c>
      <c r="M63">
        <v>285.67</v>
      </c>
      <c r="N63">
        <v>700.47</v>
      </c>
      <c r="O63" t="s">
        <v>52</v>
      </c>
      <c r="P63">
        <v>26.57</v>
      </c>
      <c r="Q63" t="str">
        <f t="shared" si="0"/>
        <v>2019-11</v>
      </c>
      <c r="R63">
        <f t="shared" si="1"/>
        <v>2076.8782501365813</v>
      </c>
      <c r="S63">
        <f t="shared" si="2"/>
        <v>7.2702007565953064</v>
      </c>
      <c r="T63" t="str">
        <f t="shared" si="3"/>
        <v>Bihar</v>
      </c>
      <c r="U63" t="str">
        <f t="shared" si="4"/>
        <v>Bhagalpur</v>
      </c>
      <c r="V63" t="str">
        <f t="shared" si="5"/>
        <v>Sugarcane</v>
      </c>
      <c r="W63" t="str">
        <f t="shared" si="6"/>
        <v>Compost</v>
      </c>
      <c r="X63" t="str">
        <f t="shared" si="7"/>
        <v>Cash</v>
      </c>
    </row>
    <row r="64" spans="1:24" x14ac:dyDescent="0.25">
      <c r="A64" t="s">
        <v>128</v>
      </c>
      <c r="B64" s="1">
        <v>43814</v>
      </c>
      <c r="C64">
        <v>2019</v>
      </c>
      <c r="D64" t="s">
        <v>17</v>
      </c>
      <c r="E64" t="s">
        <v>72</v>
      </c>
      <c r="F64" t="s">
        <v>38</v>
      </c>
      <c r="G64" t="s">
        <v>64</v>
      </c>
      <c r="H64">
        <v>10.039999999999999</v>
      </c>
      <c r="I64">
        <v>67.989999999999995</v>
      </c>
      <c r="J64">
        <v>6771.47</v>
      </c>
      <c r="K64" t="s">
        <v>21</v>
      </c>
      <c r="L64" t="s">
        <v>29</v>
      </c>
      <c r="M64">
        <v>299.89</v>
      </c>
      <c r="N64">
        <v>872.28</v>
      </c>
      <c r="O64" t="s">
        <v>70</v>
      </c>
      <c r="P64">
        <v>28.64</v>
      </c>
      <c r="Q64" t="str">
        <f t="shared" si="0"/>
        <v>2019-12</v>
      </c>
      <c r="R64">
        <f t="shared" si="1"/>
        <v>2740.3209162097087</v>
      </c>
      <c r="S64">
        <f t="shared" si="2"/>
        <v>9.1377535636723763</v>
      </c>
      <c r="T64" t="str">
        <f t="shared" si="3"/>
        <v>Uttar Pradesh</v>
      </c>
      <c r="U64" t="str">
        <f t="shared" si="4"/>
        <v>Kanpur</v>
      </c>
      <c r="V64" t="str">
        <f t="shared" si="5"/>
        <v>Wheat</v>
      </c>
      <c r="W64" t="str">
        <f t="shared" si="6"/>
        <v>Compost</v>
      </c>
      <c r="X64" t="str">
        <f t="shared" si="7"/>
        <v>Food</v>
      </c>
    </row>
    <row r="65" spans="1:24" x14ac:dyDescent="0.25">
      <c r="A65" t="s">
        <v>129</v>
      </c>
      <c r="B65" s="1">
        <v>43066</v>
      </c>
      <c r="C65">
        <v>2017</v>
      </c>
      <c r="D65" t="s">
        <v>59</v>
      </c>
      <c r="E65" t="s">
        <v>93</v>
      </c>
      <c r="F65" t="s">
        <v>38</v>
      </c>
      <c r="G65" t="s">
        <v>56</v>
      </c>
      <c r="H65">
        <v>99.7</v>
      </c>
      <c r="I65">
        <v>360.45</v>
      </c>
      <c r="J65">
        <v>3615.31</v>
      </c>
      <c r="K65" t="s">
        <v>28</v>
      </c>
      <c r="L65" t="s">
        <v>41</v>
      </c>
      <c r="M65">
        <v>292.26</v>
      </c>
      <c r="N65">
        <v>670.01</v>
      </c>
      <c r="O65" t="s">
        <v>52</v>
      </c>
      <c r="P65">
        <v>25</v>
      </c>
      <c r="Q65" t="str">
        <f t="shared" si="0"/>
        <v>2017-11</v>
      </c>
      <c r="R65">
        <f t="shared" si="1"/>
        <v>1463.0663078448433</v>
      </c>
      <c r="S65">
        <f t="shared" si="2"/>
        <v>5.0060436181647967</v>
      </c>
      <c r="T65" t="str">
        <f t="shared" si="3"/>
        <v>Bihar</v>
      </c>
      <c r="U65" t="str">
        <f t="shared" si="4"/>
        <v>Bhagalpur</v>
      </c>
      <c r="V65" t="str">
        <f t="shared" si="5"/>
        <v>Rice</v>
      </c>
      <c r="W65" t="str">
        <f t="shared" si="6"/>
        <v>Dap</v>
      </c>
      <c r="X65" t="str">
        <f t="shared" si="7"/>
        <v>Food</v>
      </c>
    </row>
    <row r="66" spans="1:24" x14ac:dyDescent="0.25">
      <c r="A66" t="s">
        <v>130</v>
      </c>
      <c r="B66" s="1">
        <v>44604</v>
      </c>
      <c r="C66">
        <v>2021</v>
      </c>
      <c r="D66" t="s">
        <v>31</v>
      </c>
      <c r="E66" t="s">
        <v>32</v>
      </c>
      <c r="F66" t="s">
        <v>38</v>
      </c>
      <c r="G66" t="s">
        <v>20</v>
      </c>
      <c r="H66">
        <v>66.599999999999994</v>
      </c>
      <c r="I66">
        <v>226.62</v>
      </c>
      <c r="J66">
        <v>3402.71</v>
      </c>
      <c r="K66" t="s">
        <v>21</v>
      </c>
      <c r="L66" t="s">
        <v>47</v>
      </c>
      <c r="M66">
        <v>163.71</v>
      </c>
      <c r="N66">
        <v>514.52</v>
      </c>
      <c r="O66" t="s">
        <v>70</v>
      </c>
      <c r="P66">
        <v>21.74</v>
      </c>
      <c r="Q66" t="str">
        <f t="shared" ref="Q66:Q129" si="8">TEXT(B66,"yyyy-mm")</f>
        <v>2022-02</v>
      </c>
      <c r="R66">
        <f t="shared" ref="R66:R129" si="9">J66/2.47105</f>
        <v>1377.0300074866959</v>
      </c>
      <c r="S66">
        <f t="shared" ref="S66:S129" si="10">R66/M66</f>
        <v>8.4113982498729207</v>
      </c>
      <c r="T66" t="str">
        <f t="shared" ref="T66:T129" si="11">PROPER(TRIM(D66))</f>
        <v>Maharashtra</v>
      </c>
      <c r="U66" t="str">
        <f t="shared" ref="U66:U129" si="12">PROPER(TRIM(E66))</f>
        <v>Pune</v>
      </c>
      <c r="V66" t="str">
        <f t="shared" ref="V66:V129" si="13">PROPER(TRIM(G66))</f>
        <v>Maize</v>
      </c>
      <c r="W66" t="str">
        <f t="shared" ref="W66:W129" si="14">PROPER(TRIM(L66))</f>
        <v>Vermicompost</v>
      </c>
      <c r="X66" t="str">
        <f t="shared" ref="X66:X129" si="15">IF(OR(V66="Wheat",V66="Rice",V66="Maize",V66="Pulses"),"Food","Cash")</f>
        <v>Food</v>
      </c>
    </row>
    <row r="67" spans="1:24" x14ac:dyDescent="0.25">
      <c r="A67" t="s">
        <v>131</v>
      </c>
      <c r="B67" s="1">
        <v>43935</v>
      </c>
      <c r="C67">
        <v>2020</v>
      </c>
      <c r="D67" t="s">
        <v>44</v>
      </c>
      <c r="E67" t="s">
        <v>45</v>
      </c>
      <c r="F67" t="s">
        <v>19</v>
      </c>
      <c r="G67" t="s">
        <v>46</v>
      </c>
      <c r="H67">
        <v>41.91</v>
      </c>
      <c r="I67">
        <v>89.08</v>
      </c>
      <c r="J67">
        <v>2125.5</v>
      </c>
      <c r="K67" t="s">
        <v>34</v>
      </c>
      <c r="L67" t="s">
        <v>49</v>
      </c>
      <c r="M67">
        <v>205.66</v>
      </c>
      <c r="N67">
        <v>698.49</v>
      </c>
      <c r="O67" t="s">
        <v>52</v>
      </c>
      <c r="P67">
        <v>31.4</v>
      </c>
      <c r="Q67" t="str">
        <f t="shared" si="8"/>
        <v>2020-04</v>
      </c>
      <c r="R67">
        <f t="shared" si="9"/>
        <v>860.16066044798765</v>
      </c>
      <c r="S67">
        <f t="shared" si="10"/>
        <v>4.1824402433530468</v>
      </c>
      <c r="T67" t="str">
        <f t="shared" si="11"/>
        <v>West Bengal</v>
      </c>
      <c r="U67" t="str">
        <f t="shared" si="12"/>
        <v>Kolkata</v>
      </c>
      <c r="V67" t="str">
        <f t="shared" si="13"/>
        <v>Sugarcane</v>
      </c>
      <c r="W67" t="str">
        <f t="shared" si="14"/>
        <v>Npk</v>
      </c>
      <c r="X67" t="str">
        <f t="shared" si="15"/>
        <v>Cash</v>
      </c>
    </row>
    <row r="68" spans="1:24" x14ac:dyDescent="0.25">
      <c r="A68" t="s">
        <v>132</v>
      </c>
      <c r="B68" s="1">
        <v>41967</v>
      </c>
      <c r="C68">
        <v>2014</v>
      </c>
      <c r="D68" t="s">
        <v>59</v>
      </c>
      <c r="E68" t="s">
        <v>60</v>
      </c>
      <c r="F68" t="s">
        <v>38</v>
      </c>
      <c r="G68" t="s">
        <v>39</v>
      </c>
      <c r="H68">
        <v>48.99</v>
      </c>
      <c r="I68">
        <v>57.48</v>
      </c>
      <c r="J68">
        <v>1173.22</v>
      </c>
      <c r="K68" t="s">
        <v>40</v>
      </c>
      <c r="L68" t="s">
        <v>41</v>
      </c>
      <c r="M68">
        <v>227.45</v>
      </c>
      <c r="N68">
        <v>510.75</v>
      </c>
      <c r="O68" t="s">
        <v>23</v>
      </c>
      <c r="P68">
        <v>28.28</v>
      </c>
      <c r="Q68" t="str">
        <f t="shared" si="8"/>
        <v>2014-11</v>
      </c>
      <c r="R68">
        <f t="shared" si="9"/>
        <v>474.78602213633883</v>
      </c>
      <c r="S68">
        <f t="shared" si="10"/>
        <v>2.0874303017645146</v>
      </c>
      <c r="T68" t="str">
        <f t="shared" si="11"/>
        <v>Bihar</v>
      </c>
      <c r="U68" t="str">
        <f t="shared" si="12"/>
        <v>Patna</v>
      </c>
      <c r="V68" t="str">
        <f t="shared" si="13"/>
        <v>Cotton</v>
      </c>
      <c r="W68" t="str">
        <f t="shared" si="14"/>
        <v>Dap</v>
      </c>
      <c r="X68" t="str">
        <f t="shared" si="15"/>
        <v>Cash</v>
      </c>
    </row>
    <row r="69" spans="1:24" x14ac:dyDescent="0.25">
      <c r="A69" t="s">
        <v>133</v>
      </c>
      <c r="B69" s="1">
        <v>42949</v>
      </c>
      <c r="C69">
        <v>2017</v>
      </c>
      <c r="D69" t="s">
        <v>44</v>
      </c>
      <c r="E69" t="s">
        <v>45</v>
      </c>
      <c r="F69" t="s">
        <v>33</v>
      </c>
      <c r="G69" t="s">
        <v>39</v>
      </c>
      <c r="H69">
        <v>83.38</v>
      </c>
      <c r="I69">
        <v>332.71</v>
      </c>
      <c r="J69">
        <v>3990.25</v>
      </c>
      <c r="K69" t="s">
        <v>34</v>
      </c>
      <c r="L69" t="s">
        <v>29</v>
      </c>
      <c r="M69">
        <v>177.22</v>
      </c>
      <c r="N69">
        <v>473.42</v>
      </c>
      <c r="O69" t="s">
        <v>52</v>
      </c>
      <c r="P69">
        <v>34.700000000000003</v>
      </c>
      <c r="Q69" t="str">
        <f t="shared" si="8"/>
        <v>2017-08</v>
      </c>
      <c r="R69">
        <f t="shared" si="9"/>
        <v>1614.7993767831488</v>
      </c>
      <c r="S69">
        <f t="shared" si="10"/>
        <v>9.1118348763296968</v>
      </c>
      <c r="T69" t="str">
        <f t="shared" si="11"/>
        <v>West Bengal</v>
      </c>
      <c r="U69" t="str">
        <f t="shared" si="12"/>
        <v>Kolkata</v>
      </c>
      <c r="V69" t="str">
        <f t="shared" si="13"/>
        <v>Cotton</v>
      </c>
      <c r="W69" t="str">
        <f t="shared" si="14"/>
        <v>Compost</v>
      </c>
      <c r="X69" t="str">
        <f t="shared" si="15"/>
        <v>Cash</v>
      </c>
    </row>
    <row r="70" spans="1:24" x14ac:dyDescent="0.25">
      <c r="A70" t="s">
        <v>134</v>
      </c>
      <c r="B70" s="1">
        <v>42651</v>
      </c>
      <c r="C70">
        <v>2016</v>
      </c>
      <c r="D70" t="s">
        <v>59</v>
      </c>
      <c r="E70" t="s">
        <v>60</v>
      </c>
      <c r="F70" t="s">
        <v>33</v>
      </c>
      <c r="G70" t="s">
        <v>27</v>
      </c>
      <c r="H70">
        <v>51.32</v>
      </c>
      <c r="I70">
        <v>322.08</v>
      </c>
      <c r="J70">
        <v>6275.96</v>
      </c>
      <c r="K70" t="s">
        <v>21</v>
      </c>
      <c r="L70" t="s">
        <v>49</v>
      </c>
      <c r="M70">
        <v>119.06</v>
      </c>
      <c r="N70">
        <v>990.01</v>
      </c>
      <c r="O70" t="s">
        <v>52</v>
      </c>
      <c r="P70">
        <v>25.1</v>
      </c>
      <c r="Q70" t="str">
        <f t="shared" si="8"/>
        <v>2016-10</v>
      </c>
      <c r="R70">
        <f t="shared" si="9"/>
        <v>2539.7948240626456</v>
      </c>
      <c r="S70">
        <f t="shared" si="10"/>
        <v>21.33205798809546</v>
      </c>
      <c r="T70" t="str">
        <f t="shared" si="11"/>
        <v>Bihar</v>
      </c>
      <c r="U70" t="str">
        <f t="shared" si="12"/>
        <v>Patna</v>
      </c>
      <c r="V70" t="str">
        <f t="shared" si="13"/>
        <v>Pulses</v>
      </c>
      <c r="W70" t="str">
        <f t="shared" si="14"/>
        <v>Npk</v>
      </c>
      <c r="X70" t="str">
        <f t="shared" si="15"/>
        <v>Food</v>
      </c>
    </row>
    <row r="71" spans="1:24" x14ac:dyDescent="0.25">
      <c r="A71" t="s">
        <v>135</v>
      </c>
      <c r="B71" s="1">
        <v>41765</v>
      </c>
      <c r="C71">
        <v>2014</v>
      </c>
      <c r="D71" t="s">
        <v>44</v>
      </c>
      <c r="E71" t="s">
        <v>45</v>
      </c>
      <c r="F71" t="s">
        <v>19</v>
      </c>
      <c r="G71" t="s">
        <v>20</v>
      </c>
      <c r="H71">
        <v>83.91</v>
      </c>
      <c r="I71">
        <v>375.88</v>
      </c>
      <c r="J71">
        <v>4479.54</v>
      </c>
      <c r="K71" t="s">
        <v>28</v>
      </c>
      <c r="L71" t="s">
        <v>47</v>
      </c>
      <c r="M71">
        <v>266.32</v>
      </c>
      <c r="N71">
        <v>646.54999999999995</v>
      </c>
      <c r="O71" t="s">
        <v>52</v>
      </c>
      <c r="P71">
        <v>25.18</v>
      </c>
      <c r="Q71" t="str">
        <f t="shared" si="8"/>
        <v>2014-05</v>
      </c>
      <c r="R71">
        <f t="shared" si="9"/>
        <v>1812.808320349649</v>
      </c>
      <c r="S71">
        <f t="shared" si="10"/>
        <v>6.806880145500334</v>
      </c>
      <c r="T71" t="str">
        <f t="shared" si="11"/>
        <v>West Bengal</v>
      </c>
      <c r="U71" t="str">
        <f t="shared" si="12"/>
        <v>Kolkata</v>
      </c>
      <c r="V71" t="str">
        <f t="shared" si="13"/>
        <v>Maize</v>
      </c>
      <c r="W71" t="str">
        <f t="shared" si="14"/>
        <v>Vermicompost</v>
      </c>
      <c r="X71" t="str">
        <f t="shared" si="15"/>
        <v>Food</v>
      </c>
    </row>
    <row r="72" spans="1:24" x14ac:dyDescent="0.25">
      <c r="A72" t="s">
        <v>136</v>
      </c>
      <c r="B72" s="1">
        <v>42194</v>
      </c>
      <c r="C72">
        <v>2015</v>
      </c>
      <c r="D72" t="s">
        <v>36</v>
      </c>
      <c r="E72" t="s">
        <v>51</v>
      </c>
      <c r="F72" t="s">
        <v>33</v>
      </c>
      <c r="G72" t="s">
        <v>39</v>
      </c>
      <c r="H72">
        <v>24.64</v>
      </c>
      <c r="I72">
        <v>81.260000000000005</v>
      </c>
      <c r="J72">
        <v>3297.83</v>
      </c>
      <c r="K72" t="s">
        <v>28</v>
      </c>
      <c r="L72" t="s">
        <v>29</v>
      </c>
      <c r="M72">
        <v>60.91</v>
      </c>
      <c r="N72">
        <v>944.71</v>
      </c>
      <c r="O72" t="s">
        <v>52</v>
      </c>
      <c r="P72">
        <v>25.79</v>
      </c>
      <c r="Q72" t="str">
        <f t="shared" si="8"/>
        <v>2015-07</v>
      </c>
      <c r="R72">
        <f t="shared" si="9"/>
        <v>1334.5865118067218</v>
      </c>
      <c r="S72">
        <f t="shared" si="10"/>
        <v>21.910794808844557</v>
      </c>
      <c r="T72" t="str">
        <f t="shared" si="11"/>
        <v>Karnataka</v>
      </c>
      <c r="U72" t="str">
        <f t="shared" si="12"/>
        <v>Mysore</v>
      </c>
      <c r="V72" t="str">
        <f t="shared" si="13"/>
        <v>Cotton</v>
      </c>
      <c r="W72" t="str">
        <f t="shared" si="14"/>
        <v>Compost</v>
      </c>
      <c r="X72" t="str">
        <f t="shared" si="15"/>
        <v>Cash</v>
      </c>
    </row>
    <row r="73" spans="1:24" x14ac:dyDescent="0.25">
      <c r="A73" t="s">
        <v>137</v>
      </c>
      <c r="B73" s="1">
        <v>43217</v>
      </c>
      <c r="C73">
        <v>2018</v>
      </c>
      <c r="D73" t="s">
        <v>25</v>
      </c>
      <c r="E73" t="s">
        <v>26</v>
      </c>
      <c r="F73" t="s">
        <v>19</v>
      </c>
      <c r="G73" t="s">
        <v>20</v>
      </c>
      <c r="H73">
        <v>87.1</v>
      </c>
      <c r="I73">
        <v>543.95000000000005</v>
      </c>
      <c r="J73">
        <v>6245.14</v>
      </c>
      <c r="K73" t="s">
        <v>28</v>
      </c>
      <c r="L73" t="s">
        <v>41</v>
      </c>
      <c r="M73">
        <v>74.930000000000007</v>
      </c>
      <c r="N73">
        <v>1110.44</v>
      </c>
      <c r="O73" t="s">
        <v>23</v>
      </c>
      <c r="P73">
        <v>30.84</v>
      </c>
      <c r="Q73" t="str">
        <f t="shared" si="8"/>
        <v>2018-04</v>
      </c>
      <c r="R73">
        <f t="shared" si="9"/>
        <v>2527.3223933145832</v>
      </c>
      <c r="S73">
        <f t="shared" si="10"/>
        <v>33.729112415782502</v>
      </c>
      <c r="T73" t="str">
        <f t="shared" si="11"/>
        <v>Punjab</v>
      </c>
      <c r="U73" t="str">
        <f t="shared" si="12"/>
        <v>Ludhiana</v>
      </c>
      <c r="V73" t="str">
        <f t="shared" si="13"/>
        <v>Maize</v>
      </c>
      <c r="W73" t="str">
        <f t="shared" si="14"/>
        <v>Dap</v>
      </c>
      <c r="X73" t="str">
        <f t="shared" si="15"/>
        <v>Food</v>
      </c>
    </row>
    <row r="74" spans="1:24" x14ac:dyDescent="0.25">
      <c r="A74" t="s">
        <v>138</v>
      </c>
      <c r="B74" s="1">
        <v>44947</v>
      </c>
      <c r="C74">
        <v>2022</v>
      </c>
      <c r="D74" t="s">
        <v>25</v>
      </c>
      <c r="E74" t="s">
        <v>87</v>
      </c>
      <c r="F74" t="s">
        <v>38</v>
      </c>
      <c r="G74" t="s">
        <v>20</v>
      </c>
      <c r="H74">
        <v>62.7</v>
      </c>
      <c r="I74">
        <v>212.23</v>
      </c>
      <c r="J74">
        <v>3384.9</v>
      </c>
      <c r="K74" t="s">
        <v>21</v>
      </c>
      <c r="L74" t="s">
        <v>29</v>
      </c>
      <c r="M74">
        <v>262.94</v>
      </c>
      <c r="N74">
        <v>1052.3399999999999</v>
      </c>
      <c r="O74" t="s">
        <v>61</v>
      </c>
      <c r="P74">
        <v>25.7</v>
      </c>
      <c r="Q74" t="str">
        <f t="shared" si="8"/>
        <v>2023-01</v>
      </c>
      <c r="R74">
        <f t="shared" si="9"/>
        <v>1369.8225450719331</v>
      </c>
      <c r="S74">
        <f t="shared" si="10"/>
        <v>5.209639252574477</v>
      </c>
      <c r="T74" t="str">
        <f t="shared" si="11"/>
        <v>Punjab</v>
      </c>
      <c r="U74" t="str">
        <f t="shared" si="12"/>
        <v>Amritsar</v>
      </c>
      <c r="V74" t="str">
        <f t="shared" si="13"/>
        <v>Maize</v>
      </c>
      <c r="W74" t="str">
        <f t="shared" si="14"/>
        <v>Compost</v>
      </c>
      <c r="X74" t="str">
        <f t="shared" si="15"/>
        <v>Food</v>
      </c>
    </row>
    <row r="75" spans="1:24" x14ac:dyDescent="0.25">
      <c r="A75" t="s">
        <v>139</v>
      </c>
      <c r="B75" s="1">
        <v>40317</v>
      </c>
      <c r="C75">
        <v>2010</v>
      </c>
      <c r="D75" t="s">
        <v>44</v>
      </c>
      <c r="E75" t="s">
        <v>67</v>
      </c>
      <c r="F75" t="s">
        <v>19</v>
      </c>
      <c r="G75" t="s">
        <v>64</v>
      </c>
      <c r="H75">
        <v>24.24</v>
      </c>
      <c r="I75">
        <v>123.78</v>
      </c>
      <c r="J75">
        <v>5106.3999999999996</v>
      </c>
      <c r="K75" t="s">
        <v>34</v>
      </c>
      <c r="L75" t="s">
        <v>22</v>
      </c>
      <c r="M75">
        <v>299.36</v>
      </c>
      <c r="N75">
        <v>946.77</v>
      </c>
      <c r="O75" t="s">
        <v>52</v>
      </c>
      <c r="P75">
        <v>34.68</v>
      </c>
      <c r="Q75" t="str">
        <f t="shared" si="8"/>
        <v>2010-05</v>
      </c>
      <c r="R75">
        <f t="shared" si="9"/>
        <v>2066.4899536634225</v>
      </c>
      <c r="S75">
        <f t="shared" si="10"/>
        <v>6.9030263016549389</v>
      </c>
      <c r="T75" t="str">
        <f t="shared" si="11"/>
        <v>West Bengal</v>
      </c>
      <c r="U75" t="str">
        <f t="shared" si="12"/>
        <v>Darjeeling</v>
      </c>
      <c r="V75" t="str">
        <f t="shared" si="13"/>
        <v>Wheat</v>
      </c>
      <c r="W75" t="str">
        <f t="shared" si="14"/>
        <v>Urea</v>
      </c>
      <c r="X75" t="str">
        <f t="shared" si="15"/>
        <v>Food</v>
      </c>
    </row>
    <row r="76" spans="1:24" x14ac:dyDescent="0.25">
      <c r="A76" t="s">
        <v>140</v>
      </c>
      <c r="B76" s="1">
        <v>44645</v>
      </c>
      <c r="C76">
        <v>2021</v>
      </c>
      <c r="D76" t="s">
        <v>36</v>
      </c>
      <c r="E76" t="s">
        <v>37</v>
      </c>
      <c r="F76" t="s">
        <v>38</v>
      </c>
      <c r="G76" t="s">
        <v>64</v>
      </c>
      <c r="H76">
        <v>5.55</v>
      </c>
      <c r="I76">
        <v>32.06</v>
      </c>
      <c r="J76">
        <v>5776.86</v>
      </c>
      <c r="K76" t="s">
        <v>34</v>
      </c>
      <c r="L76" t="s">
        <v>41</v>
      </c>
      <c r="M76">
        <v>139.62</v>
      </c>
      <c r="N76">
        <v>630.69000000000005</v>
      </c>
      <c r="O76" t="s">
        <v>42</v>
      </c>
      <c r="P76">
        <v>27.97</v>
      </c>
      <c r="Q76" t="str">
        <f t="shared" si="8"/>
        <v>2022-03</v>
      </c>
      <c r="R76">
        <f t="shared" si="9"/>
        <v>2337.8159082171546</v>
      </c>
      <c r="S76">
        <f t="shared" si="10"/>
        <v>16.744133420836231</v>
      </c>
      <c r="T76" t="str">
        <f t="shared" si="11"/>
        <v>Karnataka</v>
      </c>
      <c r="U76" t="str">
        <f t="shared" si="12"/>
        <v>Bangalore</v>
      </c>
      <c r="V76" t="str">
        <f t="shared" si="13"/>
        <v>Wheat</v>
      </c>
      <c r="W76" t="str">
        <f t="shared" si="14"/>
        <v>Dap</v>
      </c>
      <c r="X76" t="str">
        <f t="shared" si="15"/>
        <v>Food</v>
      </c>
    </row>
    <row r="77" spans="1:24" x14ac:dyDescent="0.25">
      <c r="A77" t="s">
        <v>141</v>
      </c>
      <c r="B77" s="1">
        <v>40634</v>
      </c>
      <c r="C77">
        <v>2011</v>
      </c>
      <c r="D77" t="s">
        <v>103</v>
      </c>
      <c r="E77" t="s">
        <v>104</v>
      </c>
      <c r="F77" t="s">
        <v>19</v>
      </c>
      <c r="G77" t="s">
        <v>46</v>
      </c>
      <c r="H77">
        <v>62.35</v>
      </c>
      <c r="I77">
        <v>152.44</v>
      </c>
      <c r="J77">
        <v>2444.98</v>
      </c>
      <c r="K77" t="s">
        <v>40</v>
      </c>
      <c r="L77" t="s">
        <v>29</v>
      </c>
      <c r="M77">
        <v>108.05</v>
      </c>
      <c r="N77">
        <v>837.9</v>
      </c>
      <c r="O77" t="s">
        <v>52</v>
      </c>
      <c r="P77">
        <v>23.83</v>
      </c>
      <c r="Q77" t="str">
        <f t="shared" si="8"/>
        <v>2011-04</v>
      </c>
      <c r="R77">
        <f t="shared" si="9"/>
        <v>989.44982902005222</v>
      </c>
      <c r="S77">
        <f t="shared" si="10"/>
        <v>9.1573329849148752</v>
      </c>
      <c r="T77" t="str">
        <f t="shared" si="11"/>
        <v>Haryana</v>
      </c>
      <c r="U77" t="str">
        <f t="shared" si="12"/>
        <v>Gurgaon</v>
      </c>
      <c r="V77" t="str">
        <f t="shared" si="13"/>
        <v>Sugarcane</v>
      </c>
      <c r="W77" t="str">
        <f t="shared" si="14"/>
        <v>Compost</v>
      </c>
      <c r="X77" t="str">
        <f t="shared" si="15"/>
        <v>Cash</v>
      </c>
    </row>
    <row r="78" spans="1:24" x14ac:dyDescent="0.25">
      <c r="A78" t="s">
        <v>142</v>
      </c>
      <c r="B78" s="1">
        <v>43329</v>
      </c>
      <c r="C78">
        <v>2018</v>
      </c>
      <c r="D78" t="s">
        <v>31</v>
      </c>
      <c r="E78" t="s">
        <v>117</v>
      </c>
      <c r="F78" t="s">
        <v>33</v>
      </c>
      <c r="G78" t="s">
        <v>64</v>
      </c>
      <c r="H78">
        <v>44.73</v>
      </c>
      <c r="I78">
        <v>137.47</v>
      </c>
      <c r="J78">
        <v>3073.39</v>
      </c>
      <c r="K78" t="s">
        <v>34</v>
      </c>
      <c r="L78" t="s">
        <v>41</v>
      </c>
      <c r="M78">
        <v>209.73</v>
      </c>
      <c r="N78">
        <v>624.30999999999995</v>
      </c>
      <c r="O78" t="s">
        <v>70</v>
      </c>
      <c r="P78">
        <v>26.85</v>
      </c>
      <c r="Q78" t="str">
        <f t="shared" si="8"/>
        <v>2018-08</v>
      </c>
      <c r="R78">
        <f t="shared" si="9"/>
        <v>1243.7587260476316</v>
      </c>
      <c r="S78">
        <f t="shared" si="10"/>
        <v>5.930285252694568</v>
      </c>
      <c r="T78" t="str">
        <f t="shared" si="11"/>
        <v>Maharashtra</v>
      </c>
      <c r="U78" t="str">
        <f t="shared" si="12"/>
        <v>Mumbai</v>
      </c>
      <c r="V78" t="str">
        <f t="shared" si="13"/>
        <v>Wheat</v>
      </c>
      <c r="W78" t="str">
        <f t="shared" si="14"/>
        <v>Dap</v>
      </c>
      <c r="X78" t="str">
        <f t="shared" si="15"/>
        <v>Food</v>
      </c>
    </row>
    <row r="79" spans="1:24" x14ac:dyDescent="0.25">
      <c r="A79" t="s">
        <v>143</v>
      </c>
      <c r="B79" s="1">
        <v>40839</v>
      </c>
      <c r="C79">
        <v>2011</v>
      </c>
      <c r="D79" t="s">
        <v>36</v>
      </c>
      <c r="E79" t="s">
        <v>51</v>
      </c>
      <c r="F79" t="s">
        <v>33</v>
      </c>
      <c r="G79" t="s">
        <v>46</v>
      </c>
      <c r="H79">
        <v>57.62</v>
      </c>
      <c r="I79">
        <v>256.33999999999997</v>
      </c>
      <c r="J79">
        <v>4448.87</v>
      </c>
      <c r="K79" t="s">
        <v>34</v>
      </c>
      <c r="L79" t="s">
        <v>22</v>
      </c>
      <c r="M79">
        <v>55.48</v>
      </c>
      <c r="N79">
        <v>1030.04</v>
      </c>
      <c r="O79" t="s">
        <v>52</v>
      </c>
      <c r="P79">
        <v>24.12</v>
      </c>
      <c r="Q79" t="str">
        <f t="shared" si="8"/>
        <v>2011-10</v>
      </c>
      <c r="R79">
        <f t="shared" si="9"/>
        <v>1800.3965925416321</v>
      </c>
      <c r="S79">
        <f t="shared" si="10"/>
        <v>32.451272396208225</v>
      </c>
      <c r="T79" t="str">
        <f t="shared" si="11"/>
        <v>Karnataka</v>
      </c>
      <c r="U79" t="str">
        <f t="shared" si="12"/>
        <v>Mysore</v>
      </c>
      <c r="V79" t="str">
        <f t="shared" si="13"/>
        <v>Sugarcane</v>
      </c>
      <c r="W79" t="str">
        <f t="shared" si="14"/>
        <v>Urea</v>
      </c>
      <c r="X79" t="str">
        <f t="shared" si="15"/>
        <v>Cash</v>
      </c>
    </row>
    <row r="80" spans="1:24" x14ac:dyDescent="0.25">
      <c r="A80" t="s">
        <v>144</v>
      </c>
      <c r="B80" s="1">
        <v>43050</v>
      </c>
      <c r="C80">
        <v>2017</v>
      </c>
      <c r="D80" t="s">
        <v>59</v>
      </c>
      <c r="E80" t="s">
        <v>93</v>
      </c>
      <c r="F80" t="s">
        <v>38</v>
      </c>
      <c r="G80" t="s">
        <v>56</v>
      </c>
      <c r="H80">
        <v>61.1</v>
      </c>
      <c r="I80">
        <v>190.26</v>
      </c>
      <c r="J80">
        <v>3113.93</v>
      </c>
      <c r="K80" t="s">
        <v>40</v>
      </c>
      <c r="L80" t="s">
        <v>49</v>
      </c>
      <c r="M80">
        <v>205.22</v>
      </c>
      <c r="N80">
        <v>877.76</v>
      </c>
      <c r="O80" t="s">
        <v>42</v>
      </c>
      <c r="P80">
        <v>29.42</v>
      </c>
      <c r="Q80" t="str">
        <f t="shared" si="8"/>
        <v>2017-11</v>
      </c>
      <c r="R80">
        <f t="shared" si="9"/>
        <v>1260.1647073106574</v>
      </c>
      <c r="S80">
        <f t="shared" si="10"/>
        <v>6.1405550497546892</v>
      </c>
      <c r="T80" t="str">
        <f t="shared" si="11"/>
        <v>Bihar</v>
      </c>
      <c r="U80" t="str">
        <f t="shared" si="12"/>
        <v>Bhagalpur</v>
      </c>
      <c r="V80" t="str">
        <f t="shared" si="13"/>
        <v>Rice</v>
      </c>
      <c r="W80" t="str">
        <f t="shared" si="14"/>
        <v>Npk</v>
      </c>
      <c r="X80" t="str">
        <f t="shared" si="15"/>
        <v>Food</v>
      </c>
    </row>
    <row r="81" spans="1:24" x14ac:dyDescent="0.25">
      <c r="A81" t="s">
        <v>145</v>
      </c>
      <c r="B81" s="1">
        <v>40303</v>
      </c>
      <c r="C81">
        <v>2010</v>
      </c>
      <c r="D81" t="s">
        <v>44</v>
      </c>
      <c r="E81" t="s">
        <v>99</v>
      </c>
      <c r="F81" t="s">
        <v>19</v>
      </c>
      <c r="G81" t="s">
        <v>20</v>
      </c>
      <c r="H81">
        <v>73.5</v>
      </c>
      <c r="I81">
        <v>113.25</v>
      </c>
      <c r="J81">
        <v>1540.8</v>
      </c>
      <c r="K81" t="s">
        <v>34</v>
      </c>
      <c r="L81" t="s">
        <v>49</v>
      </c>
      <c r="M81">
        <v>131.68</v>
      </c>
      <c r="N81">
        <v>615.5</v>
      </c>
      <c r="O81" t="s">
        <v>42</v>
      </c>
      <c r="P81">
        <v>21.98</v>
      </c>
      <c r="Q81" t="str">
        <f t="shared" si="8"/>
        <v>2010-05</v>
      </c>
      <c r="R81">
        <f t="shared" si="9"/>
        <v>623.5406001497339</v>
      </c>
      <c r="S81">
        <f t="shared" si="10"/>
        <v>4.7352718723400207</v>
      </c>
      <c r="T81" t="str">
        <f t="shared" si="11"/>
        <v>West Bengal</v>
      </c>
      <c r="U81" t="str">
        <f t="shared" si="12"/>
        <v>Howrah</v>
      </c>
      <c r="V81" t="str">
        <f t="shared" si="13"/>
        <v>Maize</v>
      </c>
      <c r="W81" t="str">
        <f t="shared" si="14"/>
        <v>Npk</v>
      </c>
      <c r="X81" t="str">
        <f t="shared" si="15"/>
        <v>Food</v>
      </c>
    </row>
    <row r="82" spans="1:24" x14ac:dyDescent="0.25">
      <c r="A82" t="s">
        <v>146</v>
      </c>
      <c r="B82" s="1">
        <v>41810</v>
      </c>
      <c r="C82">
        <v>2014</v>
      </c>
      <c r="D82" t="s">
        <v>59</v>
      </c>
      <c r="E82" t="s">
        <v>93</v>
      </c>
      <c r="F82" t="s">
        <v>33</v>
      </c>
      <c r="G82" t="s">
        <v>20</v>
      </c>
      <c r="H82">
        <v>91.49</v>
      </c>
      <c r="I82">
        <v>609.79</v>
      </c>
      <c r="J82">
        <v>6665.13</v>
      </c>
      <c r="K82" t="s">
        <v>34</v>
      </c>
      <c r="L82" t="s">
        <v>41</v>
      </c>
      <c r="M82">
        <v>236.64</v>
      </c>
      <c r="N82">
        <v>538.72</v>
      </c>
      <c r="O82" t="s">
        <v>23</v>
      </c>
      <c r="P82">
        <v>27.02</v>
      </c>
      <c r="Q82" t="str">
        <f t="shared" si="8"/>
        <v>2014-06</v>
      </c>
      <c r="R82">
        <f t="shared" si="9"/>
        <v>2697.2865785799559</v>
      </c>
      <c r="S82">
        <f t="shared" si="10"/>
        <v>11.398269855391971</v>
      </c>
      <c r="T82" t="str">
        <f t="shared" si="11"/>
        <v>Bihar</v>
      </c>
      <c r="U82" t="str">
        <f t="shared" si="12"/>
        <v>Bhagalpur</v>
      </c>
      <c r="V82" t="str">
        <f t="shared" si="13"/>
        <v>Maize</v>
      </c>
      <c r="W82" t="str">
        <f t="shared" si="14"/>
        <v>Dap</v>
      </c>
      <c r="X82" t="str">
        <f t="shared" si="15"/>
        <v>Food</v>
      </c>
    </row>
    <row r="83" spans="1:24" x14ac:dyDescent="0.25">
      <c r="A83" t="s">
        <v>147</v>
      </c>
      <c r="B83" s="1">
        <v>43951</v>
      </c>
      <c r="C83">
        <v>2020</v>
      </c>
      <c r="D83" t="s">
        <v>44</v>
      </c>
      <c r="E83" t="s">
        <v>45</v>
      </c>
      <c r="F83" t="s">
        <v>19</v>
      </c>
      <c r="G83" t="s">
        <v>39</v>
      </c>
      <c r="H83">
        <v>98.01</v>
      </c>
      <c r="I83">
        <v>666.82</v>
      </c>
      <c r="J83">
        <v>6803.62</v>
      </c>
      <c r="K83" t="s">
        <v>34</v>
      </c>
      <c r="L83" t="s">
        <v>49</v>
      </c>
      <c r="M83">
        <v>72.58</v>
      </c>
      <c r="N83">
        <v>594.57000000000005</v>
      </c>
      <c r="O83" t="s">
        <v>70</v>
      </c>
      <c r="P83">
        <v>28.05</v>
      </c>
      <c r="Q83" t="str">
        <f t="shared" si="8"/>
        <v>2020-04</v>
      </c>
      <c r="R83">
        <f t="shared" si="9"/>
        <v>2753.3315796928432</v>
      </c>
      <c r="S83">
        <f t="shared" si="10"/>
        <v>37.935127854682328</v>
      </c>
      <c r="T83" t="str">
        <f t="shared" si="11"/>
        <v>West Bengal</v>
      </c>
      <c r="U83" t="str">
        <f t="shared" si="12"/>
        <v>Kolkata</v>
      </c>
      <c r="V83" t="str">
        <f t="shared" si="13"/>
        <v>Cotton</v>
      </c>
      <c r="W83" t="str">
        <f t="shared" si="14"/>
        <v>Npk</v>
      </c>
      <c r="X83" t="str">
        <f t="shared" si="15"/>
        <v>Cash</v>
      </c>
    </row>
    <row r="84" spans="1:24" x14ac:dyDescent="0.25">
      <c r="A84" t="s">
        <v>148</v>
      </c>
      <c r="B84" s="1">
        <v>44279</v>
      </c>
      <c r="C84">
        <v>2020</v>
      </c>
      <c r="D84" t="s">
        <v>17</v>
      </c>
      <c r="E84" t="s">
        <v>54</v>
      </c>
      <c r="F84" t="s">
        <v>38</v>
      </c>
      <c r="G84" t="s">
        <v>27</v>
      </c>
      <c r="H84">
        <v>38.72</v>
      </c>
      <c r="I84">
        <v>187.07</v>
      </c>
      <c r="J84">
        <v>4831.3</v>
      </c>
      <c r="K84" t="s">
        <v>34</v>
      </c>
      <c r="L84" t="s">
        <v>49</v>
      </c>
      <c r="M84">
        <v>77.09</v>
      </c>
      <c r="N84">
        <v>433.82</v>
      </c>
      <c r="O84" t="s">
        <v>23</v>
      </c>
      <c r="P84">
        <v>29.29</v>
      </c>
      <c r="Q84" t="str">
        <f t="shared" si="8"/>
        <v>2021-03</v>
      </c>
      <c r="R84">
        <f t="shared" si="9"/>
        <v>1955.1607616195545</v>
      </c>
      <c r="S84">
        <f t="shared" si="10"/>
        <v>25.362054243346147</v>
      </c>
      <c r="T84" t="str">
        <f t="shared" si="11"/>
        <v>Uttar Pradesh</v>
      </c>
      <c r="U84" t="str">
        <f t="shared" si="12"/>
        <v>Varanasi</v>
      </c>
      <c r="V84" t="str">
        <f t="shared" si="13"/>
        <v>Pulses</v>
      </c>
      <c r="W84" t="str">
        <f t="shared" si="14"/>
        <v>Npk</v>
      </c>
      <c r="X84" t="str">
        <f t="shared" si="15"/>
        <v>Food</v>
      </c>
    </row>
    <row r="85" spans="1:24" x14ac:dyDescent="0.25">
      <c r="A85" t="s">
        <v>149</v>
      </c>
      <c r="B85" s="1">
        <v>44060</v>
      </c>
      <c r="C85">
        <v>2020</v>
      </c>
      <c r="D85" t="s">
        <v>59</v>
      </c>
      <c r="E85" t="s">
        <v>60</v>
      </c>
      <c r="F85" t="s">
        <v>33</v>
      </c>
      <c r="G85" t="s">
        <v>39</v>
      </c>
      <c r="H85">
        <v>82.56</v>
      </c>
      <c r="I85">
        <v>533.03</v>
      </c>
      <c r="J85">
        <v>6456.33</v>
      </c>
      <c r="K85" t="s">
        <v>34</v>
      </c>
      <c r="L85" t="s">
        <v>29</v>
      </c>
      <c r="M85">
        <v>212.31</v>
      </c>
      <c r="N85">
        <v>316.68</v>
      </c>
      <c r="O85" t="s">
        <v>23</v>
      </c>
      <c r="P85">
        <v>34.19</v>
      </c>
      <c r="Q85" t="str">
        <f t="shared" si="8"/>
        <v>2020-08</v>
      </c>
      <c r="R85">
        <f t="shared" si="9"/>
        <v>2612.7880860363002</v>
      </c>
      <c r="S85">
        <f t="shared" si="10"/>
        <v>12.306476784118978</v>
      </c>
      <c r="T85" t="str">
        <f t="shared" si="11"/>
        <v>Bihar</v>
      </c>
      <c r="U85" t="str">
        <f t="shared" si="12"/>
        <v>Patna</v>
      </c>
      <c r="V85" t="str">
        <f t="shared" si="13"/>
        <v>Cotton</v>
      </c>
      <c r="W85" t="str">
        <f t="shared" si="14"/>
        <v>Compost</v>
      </c>
      <c r="X85" t="str">
        <f t="shared" si="15"/>
        <v>Cash</v>
      </c>
    </row>
    <row r="86" spans="1:24" x14ac:dyDescent="0.25">
      <c r="A86" t="s">
        <v>150</v>
      </c>
      <c r="B86" s="1">
        <v>41418</v>
      </c>
      <c r="C86">
        <v>2013</v>
      </c>
      <c r="D86" t="s">
        <v>25</v>
      </c>
      <c r="E86" t="s">
        <v>26</v>
      </c>
      <c r="F86" t="s">
        <v>19</v>
      </c>
      <c r="G86" t="s">
        <v>56</v>
      </c>
      <c r="H86">
        <v>39.479999999999997</v>
      </c>
      <c r="I86">
        <v>127.37</v>
      </c>
      <c r="J86">
        <v>3226.07</v>
      </c>
      <c r="K86" t="s">
        <v>28</v>
      </c>
      <c r="L86" t="s">
        <v>29</v>
      </c>
      <c r="M86">
        <v>196.84</v>
      </c>
      <c r="N86">
        <v>926.6</v>
      </c>
      <c r="O86" t="s">
        <v>52</v>
      </c>
      <c r="P86">
        <v>29.82</v>
      </c>
      <c r="Q86" t="str">
        <f t="shared" si="8"/>
        <v>2013-05</v>
      </c>
      <c r="R86">
        <f t="shared" si="9"/>
        <v>1305.5462252888449</v>
      </c>
      <c r="S86">
        <f t="shared" si="10"/>
        <v>6.6325250217884824</v>
      </c>
      <c r="T86" t="str">
        <f t="shared" si="11"/>
        <v>Punjab</v>
      </c>
      <c r="U86" t="str">
        <f t="shared" si="12"/>
        <v>Ludhiana</v>
      </c>
      <c r="V86" t="str">
        <f t="shared" si="13"/>
        <v>Rice</v>
      </c>
      <c r="W86" t="str">
        <f t="shared" si="14"/>
        <v>Compost</v>
      </c>
      <c r="X86" t="str">
        <f t="shared" si="15"/>
        <v>Food</v>
      </c>
    </row>
    <row r="87" spans="1:24" x14ac:dyDescent="0.25">
      <c r="A87" t="s">
        <v>151</v>
      </c>
      <c r="B87" s="1">
        <v>41882</v>
      </c>
      <c r="C87">
        <v>2014</v>
      </c>
      <c r="D87" t="s">
        <v>59</v>
      </c>
      <c r="E87" t="s">
        <v>63</v>
      </c>
      <c r="F87" t="s">
        <v>33</v>
      </c>
      <c r="G87" t="s">
        <v>39</v>
      </c>
      <c r="H87">
        <v>37.68</v>
      </c>
      <c r="I87">
        <v>137.91999999999999</v>
      </c>
      <c r="J87">
        <v>3660.3</v>
      </c>
      <c r="K87" t="s">
        <v>40</v>
      </c>
      <c r="L87" t="s">
        <v>22</v>
      </c>
      <c r="M87">
        <v>263.86</v>
      </c>
      <c r="N87">
        <v>299.35000000000002</v>
      </c>
      <c r="O87" t="s">
        <v>70</v>
      </c>
      <c r="P87">
        <v>28.17</v>
      </c>
      <c r="Q87" t="str">
        <f t="shared" si="8"/>
        <v>2014-08</v>
      </c>
      <c r="R87">
        <f t="shared" si="9"/>
        <v>1481.2731429958926</v>
      </c>
      <c r="S87">
        <f t="shared" si="10"/>
        <v>5.6138601644655974</v>
      </c>
      <c r="T87" t="str">
        <f t="shared" si="11"/>
        <v>Bihar</v>
      </c>
      <c r="U87" t="str">
        <f t="shared" si="12"/>
        <v>Gaya</v>
      </c>
      <c r="V87" t="str">
        <f t="shared" si="13"/>
        <v>Cotton</v>
      </c>
      <c r="W87" t="str">
        <f t="shared" si="14"/>
        <v>Urea</v>
      </c>
      <c r="X87" t="str">
        <f t="shared" si="15"/>
        <v>Cash</v>
      </c>
    </row>
    <row r="88" spans="1:24" x14ac:dyDescent="0.25">
      <c r="A88" t="s">
        <v>152</v>
      </c>
      <c r="B88" s="1">
        <v>41478</v>
      </c>
      <c r="C88">
        <v>2013</v>
      </c>
      <c r="D88" t="s">
        <v>36</v>
      </c>
      <c r="E88" t="s">
        <v>51</v>
      </c>
      <c r="F88" t="s">
        <v>33</v>
      </c>
      <c r="G88" t="s">
        <v>46</v>
      </c>
      <c r="H88">
        <v>10.08</v>
      </c>
      <c r="I88">
        <v>22.91</v>
      </c>
      <c r="J88">
        <v>2272.63</v>
      </c>
      <c r="K88" t="s">
        <v>21</v>
      </c>
      <c r="L88" t="s">
        <v>22</v>
      </c>
      <c r="M88">
        <v>62.64</v>
      </c>
      <c r="N88">
        <v>533.51</v>
      </c>
      <c r="O88" t="s">
        <v>42</v>
      </c>
      <c r="P88">
        <v>31.8</v>
      </c>
      <c r="Q88" t="str">
        <f t="shared" si="8"/>
        <v>2013-07</v>
      </c>
      <c r="R88">
        <f t="shared" si="9"/>
        <v>919.70215090750901</v>
      </c>
      <c r="S88">
        <f t="shared" si="10"/>
        <v>14.682345959570705</v>
      </c>
      <c r="T88" t="str">
        <f t="shared" si="11"/>
        <v>Karnataka</v>
      </c>
      <c r="U88" t="str">
        <f t="shared" si="12"/>
        <v>Mysore</v>
      </c>
      <c r="V88" t="str">
        <f t="shared" si="13"/>
        <v>Sugarcane</v>
      </c>
      <c r="W88" t="str">
        <f t="shared" si="14"/>
        <v>Urea</v>
      </c>
      <c r="X88" t="str">
        <f t="shared" si="15"/>
        <v>Cash</v>
      </c>
    </row>
    <row r="89" spans="1:24" x14ac:dyDescent="0.25">
      <c r="A89" t="s">
        <v>153</v>
      </c>
      <c r="B89" s="1">
        <v>41374</v>
      </c>
      <c r="C89">
        <v>2013</v>
      </c>
      <c r="D89" t="s">
        <v>44</v>
      </c>
      <c r="E89" t="s">
        <v>67</v>
      </c>
      <c r="F89" t="s">
        <v>19</v>
      </c>
      <c r="G89" t="s">
        <v>56</v>
      </c>
      <c r="H89">
        <v>81.489999999999995</v>
      </c>
      <c r="I89">
        <v>195.41</v>
      </c>
      <c r="J89">
        <v>2397.9899999999998</v>
      </c>
      <c r="K89" t="s">
        <v>40</v>
      </c>
      <c r="L89" t="s">
        <v>41</v>
      </c>
      <c r="M89">
        <v>247.16</v>
      </c>
      <c r="N89">
        <v>795.98</v>
      </c>
      <c r="O89" t="s">
        <v>70</v>
      </c>
      <c r="P89">
        <v>32.880000000000003</v>
      </c>
      <c r="Q89" t="str">
        <f t="shared" si="8"/>
        <v>2013-04</v>
      </c>
      <c r="R89">
        <f t="shared" si="9"/>
        <v>970.43362133505991</v>
      </c>
      <c r="S89">
        <f t="shared" si="10"/>
        <v>3.9263376814009545</v>
      </c>
      <c r="T89" t="str">
        <f t="shared" si="11"/>
        <v>West Bengal</v>
      </c>
      <c r="U89" t="str">
        <f t="shared" si="12"/>
        <v>Darjeeling</v>
      </c>
      <c r="V89" t="str">
        <f t="shared" si="13"/>
        <v>Rice</v>
      </c>
      <c r="W89" t="str">
        <f t="shared" si="14"/>
        <v>Dap</v>
      </c>
      <c r="X89" t="str">
        <f t="shared" si="15"/>
        <v>Food</v>
      </c>
    </row>
    <row r="90" spans="1:24" x14ac:dyDescent="0.25">
      <c r="A90" t="s">
        <v>154</v>
      </c>
      <c r="B90" s="1">
        <v>44757</v>
      </c>
      <c r="C90">
        <v>2022</v>
      </c>
      <c r="D90" t="s">
        <v>59</v>
      </c>
      <c r="E90" t="s">
        <v>63</v>
      </c>
      <c r="F90" t="s">
        <v>33</v>
      </c>
      <c r="G90" t="s">
        <v>64</v>
      </c>
      <c r="H90">
        <v>66.44</v>
      </c>
      <c r="I90">
        <v>76.72</v>
      </c>
      <c r="J90">
        <v>1154.68</v>
      </c>
      <c r="K90" t="s">
        <v>21</v>
      </c>
      <c r="L90" t="s">
        <v>49</v>
      </c>
      <c r="M90">
        <v>139.56</v>
      </c>
      <c r="N90">
        <v>988.43</v>
      </c>
      <c r="O90" t="s">
        <v>61</v>
      </c>
      <c r="P90">
        <v>24.86</v>
      </c>
      <c r="Q90" t="str">
        <f t="shared" si="8"/>
        <v>2022-07</v>
      </c>
      <c r="R90">
        <f t="shared" si="9"/>
        <v>467.28313874668669</v>
      </c>
      <c r="S90">
        <f t="shared" si="10"/>
        <v>3.3482598075858889</v>
      </c>
      <c r="T90" t="str">
        <f t="shared" si="11"/>
        <v>Bihar</v>
      </c>
      <c r="U90" t="str">
        <f t="shared" si="12"/>
        <v>Gaya</v>
      </c>
      <c r="V90" t="str">
        <f t="shared" si="13"/>
        <v>Wheat</v>
      </c>
      <c r="W90" t="str">
        <f t="shared" si="14"/>
        <v>Npk</v>
      </c>
      <c r="X90" t="str">
        <f t="shared" si="15"/>
        <v>Food</v>
      </c>
    </row>
    <row r="91" spans="1:24" x14ac:dyDescent="0.25">
      <c r="A91" t="s">
        <v>155</v>
      </c>
      <c r="B91" s="1">
        <v>44557</v>
      </c>
      <c r="C91">
        <v>2021</v>
      </c>
      <c r="D91" t="s">
        <v>25</v>
      </c>
      <c r="E91" t="s">
        <v>26</v>
      </c>
      <c r="F91" t="s">
        <v>38</v>
      </c>
      <c r="G91" t="s">
        <v>27</v>
      </c>
      <c r="H91">
        <v>12.25</v>
      </c>
      <c r="I91">
        <v>16.920000000000002</v>
      </c>
      <c r="J91">
        <v>1381.35</v>
      </c>
      <c r="K91" t="s">
        <v>28</v>
      </c>
      <c r="L91" t="s">
        <v>47</v>
      </c>
      <c r="M91">
        <v>244.5</v>
      </c>
      <c r="N91">
        <v>713.24</v>
      </c>
      <c r="O91" t="s">
        <v>23</v>
      </c>
      <c r="P91">
        <v>26.78</v>
      </c>
      <c r="Q91" t="str">
        <f t="shared" si="8"/>
        <v>2021-12</v>
      </c>
      <c r="R91">
        <f t="shared" si="9"/>
        <v>559.01337488112335</v>
      </c>
      <c r="S91">
        <f t="shared" si="10"/>
        <v>2.2863532714974371</v>
      </c>
      <c r="T91" t="str">
        <f t="shared" si="11"/>
        <v>Punjab</v>
      </c>
      <c r="U91" t="str">
        <f t="shared" si="12"/>
        <v>Ludhiana</v>
      </c>
      <c r="V91" t="str">
        <f t="shared" si="13"/>
        <v>Pulses</v>
      </c>
      <c r="W91" t="str">
        <f t="shared" si="14"/>
        <v>Vermicompost</v>
      </c>
      <c r="X91" t="str">
        <f t="shared" si="15"/>
        <v>Food</v>
      </c>
    </row>
    <row r="92" spans="1:24" x14ac:dyDescent="0.25">
      <c r="A92" t="s">
        <v>156</v>
      </c>
      <c r="B92" s="1">
        <v>44658</v>
      </c>
      <c r="C92">
        <v>2022</v>
      </c>
      <c r="D92" t="s">
        <v>25</v>
      </c>
      <c r="E92" t="s">
        <v>69</v>
      </c>
      <c r="F92" t="s">
        <v>19</v>
      </c>
      <c r="G92" t="s">
        <v>27</v>
      </c>
      <c r="H92">
        <v>30.86</v>
      </c>
      <c r="I92">
        <v>149.97999999999999</v>
      </c>
      <c r="J92">
        <v>4860.04</v>
      </c>
      <c r="K92" t="s">
        <v>21</v>
      </c>
      <c r="L92" t="s">
        <v>29</v>
      </c>
      <c r="M92">
        <v>65.209999999999994</v>
      </c>
      <c r="N92">
        <v>678.98</v>
      </c>
      <c r="O92" t="s">
        <v>52</v>
      </c>
      <c r="P92">
        <v>26.39</v>
      </c>
      <c r="Q92" t="str">
        <f t="shared" si="8"/>
        <v>2022-04</v>
      </c>
      <c r="R92">
        <f t="shared" si="9"/>
        <v>1966.7914449323162</v>
      </c>
      <c r="S92">
        <f t="shared" si="10"/>
        <v>30.160887056161883</v>
      </c>
      <c r="T92" t="str">
        <f t="shared" si="11"/>
        <v>Punjab</v>
      </c>
      <c r="U92" t="str">
        <f t="shared" si="12"/>
        <v>Patiala</v>
      </c>
      <c r="V92" t="str">
        <f t="shared" si="13"/>
        <v>Pulses</v>
      </c>
      <c r="W92" t="str">
        <f t="shared" si="14"/>
        <v>Compost</v>
      </c>
      <c r="X92" t="str">
        <f t="shared" si="15"/>
        <v>Food</v>
      </c>
    </row>
    <row r="93" spans="1:24" x14ac:dyDescent="0.25">
      <c r="A93" t="s">
        <v>157</v>
      </c>
      <c r="B93" s="1">
        <v>40847</v>
      </c>
      <c r="C93">
        <v>2011</v>
      </c>
      <c r="D93" t="s">
        <v>17</v>
      </c>
      <c r="E93" t="s">
        <v>72</v>
      </c>
      <c r="F93" t="s">
        <v>33</v>
      </c>
      <c r="G93" t="s">
        <v>20</v>
      </c>
      <c r="H93">
        <v>61.22</v>
      </c>
      <c r="I93">
        <v>85.35</v>
      </c>
      <c r="J93">
        <v>1394.09</v>
      </c>
      <c r="K93" t="s">
        <v>34</v>
      </c>
      <c r="L93" t="s">
        <v>47</v>
      </c>
      <c r="M93">
        <v>206.08</v>
      </c>
      <c r="N93">
        <v>785.36</v>
      </c>
      <c r="O93" t="s">
        <v>70</v>
      </c>
      <c r="P93">
        <v>25.71</v>
      </c>
      <c r="Q93" t="str">
        <f t="shared" si="8"/>
        <v>2011-10</v>
      </c>
      <c r="R93">
        <f t="shared" si="9"/>
        <v>564.16907792234065</v>
      </c>
      <c r="S93">
        <f t="shared" si="10"/>
        <v>2.7376216902287491</v>
      </c>
      <c r="T93" t="str">
        <f t="shared" si="11"/>
        <v>Uttar Pradesh</v>
      </c>
      <c r="U93" t="str">
        <f t="shared" si="12"/>
        <v>Kanpur</v>
      </c>
      <c r="V93" t="str">
        <f t="shared" si="13"/>
        <v>Maize</v>
      </c>
      <c r="W93" t="str">
        <f t="shared" si="14"/>
        <v>Vermicompost</v>
      </c>
      <c r="X93" t="str">
        <f t="shared" si="15"/>
        <v>Food</v>
      </c>
    </row>
    <row r="94" spans="1:24" x14ac:dyDescent="0.25">
      <c r="A94" t="s">
        <v>158</v>
      </c>
      <c r="B94" s="1">
        <v>43220</v>
      </c>
      <c r="C94">
        <v>2018</v>
      </c>
      <c r="D94" t="s">
        <v>31</v>
      </c>
      <c r="E94" t="s">
        <v>32</v>
      </c>
      <c r="F94" t="s">
        <v>19</v>
      </c>
      <c r="G94" t="s">
        <v>46</v>
      </c>
      <c r="H94">
        <v>10.82</v>
      </c>
      <c r="I94">
        <v>56.38</v>
      </c>
      <c r="J94">
        <v>5210.68</v>
      </c>
      <c r="K94" t="s">
        <v>40</v>
      </c>
      <c r="L94" t="s">
        <v>29</v>
      </c>
      <c r="M94">
        <v>157.52000000000001</v>
      </c>
      <c r="N94">
        <v>1088.0899999999999</v>
      </c>
      <c r="O94" t="s">
        <v>52</v>
      </c>
      <c r="P94">
        <v>25.08</v>
      </c>
      <c r="Q94" t="str">
        <f t="shared" si="8"/>
        <v>2018-04</v>
      </c>
      <c r="R94">
        <f t="shared" si="9"/>
        <v>2108.6906375832136</v>
      </c>
      <c r="S94">
        <f t="shared" si="10"/>
        <v>13.386812072011258</v>
      </c>
      <c r="T94" t="str">
        <f t="shared" si="11"/>
        <v>Maharashtra</v>
      </c>
      <c r="U94" t="str">
        <f t="shared" si="12"/>
        <v>Pune</v>
      </c>
      <c r="V94" t="str">
        <f t="shared" si="13"/>
        <v>Sugarcane</v>
      </c>
      <c r="W94" t="str">
        <f t="shared" si="14"/>
        <v>Compost</v>
      </c>
      <c r="X94" t="str">
        <f t="shared" si="15"/>
        <v>Cash</v>
      </c>
    </row>
    <row r="95" spans="1:24" x14ac:dyDescent="0.25">
      <c r="A95" t="s">
        <v>159</v>
      </c>
      <c r="B95" s="1">
        <v>40871</v>
      </c>
      <c r="C95">
        <v>2011</v>
      </c>
      <c r="D95" t="s">
        <v>36</v>
      </c>
      <c r="E95" t="s">
        <v>77</v>
      </c>
      <c r="F95" t="s">
        <v>38</v>
      </c>
      <c r="G95" t="s">
        <v>46</v>
      </c>
      <c r="H95">
        <v>31.94</v>
      </c>
      <c r="I95">
        <v>80.790000000000006</v>
      </c>
      <c r="J95">
        <v>2529.34</v>
      </c>
      <c r="K95" t="s">
        <v>40</v>
      </c>
      <c r="L95" t="s">
        <v>29</v>
      </c>
      <c r="M95">
        <v>221.71</v>
      </c>
      <c r="N95">
        <v>674.27</v>
      </c>
      <c r="O95" t="s">
        <v>23</v>
      </c>
      <c r="P95">
        <v>32.479999999999997</v>
      </c>
      <c r="Q95" t="str">
        <f t="shared" si="8"/>
        <v>2011-11</v>
      </c>
      <c r="R95">
        <f t="shared" si="9"/>
        <v>1023.5891625017706</v>
      </c>
      <c r="S95">
        <f t="shared" si="10"/>
        <v>4.6167929389823215</v>
      </c>
      <c r="T95" t="str">
        <f t="shared" si="11"/>
        <v>Karnataka</v>
      </c>
      <c r="U95" t="str">
        <f t="shared" si="12"/>
        <v>Hubli</v>
      </c>
      <c r="V95" t="str">
        <f t="shared" si="13"/>
        <v>Sugarcane</v>
      </c>
      <c r="W95" t="str">
        <f t="shared" si="14"/>
        <v>Compost</v>
      </c>
      <c r="X95" t="str">
        <f t="shared" si="15"/>
        <v>Cash</v>
      </c>
    </row>
    <row r="96" spans="1:24" x14ac:dyDescent="0.25">
      <c r="A96" t="s">
        <v>160</v>
      </c>
      <c r="B96" s="1">
        <v>44514</v>
      </c>
      <c r="C96">
        <v>2021</v>
      </c>
      <c r="D96" t="s">
        <v>25</v>
      </c>
      <c r="E96" t="s">
        <v>69</v>
      </c>
      <c r="F96" t="s">
        <v>38</v>
      </c>
      <c r="G96" t="s">
        <v>56</v>
      </c>
      <c r="H96">
        <v>56.08</v>
      </c>
      <c r="I96">
        <v>253.41</v>
      </c>
      <c r="J96">
        <v>4518.79</v>
      </c>
      <c r="K96" t="s">
        <v>34</v>
      </c>
      <c r="L96" t="s">
        <v>49</v>
      </c>
      <c r="M96">
        <v>217.5</v>
      </c>
      <c r="N96">
        <v>610.80999999999995</v>
      </c>
      <c r="O96" t="s">
        <v>52</v>
      </c>
      <c r="P96">
        <v>33.020000000000003</v>
      </c>
      <c r="Q96" t="str">
        <f t="shared" si="8"/>
        <v>2021-11</v>
      </c>
      <c r="R96">
        <f t="shared" si="9"/>
        <v>1828.6922563282815</v>
      </c>
      <c r="S96">
        <f t="shared" si="10"/>
        <v>8.4077804888656615</v>
      </c>
      <c r="T96" t="str">
        <f t="shared" si="11"/>
        <v>Punjab</v>
      </c>
      <c r="U96" t="str">
        <f t="shared" si="12"/>
        <v>Patiala</v>
      </c>
      <c r="V96" t="str">
        <f t="shared" si="13"/>
        <v>Rice</v>
      </c>
      <c r="W96" t="str">
        <f t="shared" si="14"/>
        <v>Npk</v>
      </c>
      <c r="X96" t="str">
        <f t="shared" si="15"/>
        <v>Food</v>
      </c>
    </row>
    <row r="97" spans="1:24" x14ac:dyDescent="0.25">
      <c r="A97" t="s">
        <v>161</v>
      </c>
      <c r="B97" s="1">
        <v>42227</v>
      </c>
      <c r="C97">
        <v>2015</v>
      </c>
      <c r="D97" t="s">
        <v>59</v>
      </c>
      <c r="E97" t="s">
        <v>63</v>
      </c>
      <c r="F97" t="s">
        <v>33</v>
      </c>
      <c r="G97" t="s">
        <v>27</v>
      </c>
      <c r="H97">
        <v>51.23</v>
      </c>
      <c r="I97">
        <v>98.79</v>
      </c>
      <c r="J97">
        <v>1928.38</v>
      </c>
      <c r="K97" t="s">
        <v>28</v>
      </c>
      <c r="L97" t="s">
        <v>47</v>
      </c>
      <c r="M97">
        <v>106.06</v>
      </c>
      <c r="N97">
        <v>308.22000000000003</v>
      </c>
      <c r="O97" t="s">
        <v>61</v>
      </c>
      <c r="P97">
        <v>25.51</v>
      </c>
      <c r="Q97" t="str">
        <f t="shared" si="8"/>
        <v>2015-08</v>
      </c>
      <c r="R97">
        <f t="shared" si="9"/>
        <v>780.38890350255974</v>
      </c>
      <c r="S97">
        <f t="shared" si="10"/>
        <v>7.3579945644216451</v>
      </c>
      <c r="T97" t="str">
        <f t="shared" si="11"/>
        <v>Bihar</v>
      </c>
      <c r="U97" t="str">
        <f t="shared" si="12"/>
        <v>Gaya</v>
      </c>
      <c r="V97" t="str">
        <f t="shared" si="13"/>
        <v>Pulses</v>
      </c>
      <c r="W97" t="str">
        <f t="shared" si="14"/>
        <v>Vermicompost</v>
      </c>
      <c r="X97" t="str">
        <f t="shared" si="15"/>
        <v>Food</v>
      </c>
    </row>
    <row r="98" spans="1:24" x14ac:dyDescent="0.25">
      <c r="A98" t="s">
        <v>162</v>
      </c>
      <c r="B98" s="1">
        <v>43213</v>
      </c>
      <c r="C98">
        <v>2018</v>
      </c>
      <c r="D98" t="s">
        <v>103</v>
      </c>
      <c r="E98" t="s">
        <v>107</v>
      </c>
      <c r="F98" t="s">
        <v>19</v>
      </c>
      <c r="G98" t="s">
        <v>27</v>
      </c>
      <c r="H98">
        <v>67.819999999999993</v>
      </c>
      <c r="I98">
        <v>294.37</v>
      </c>
      <c r="J98">
        <v>4340.4399999999996</v>
      </c>
      <c r="K98" t="s">
        <v>34</v>
      </c>
      <c r="L98" t="s">
        <v>22</v>
      </c>
      <c r="M98">
        <v>57.24</v>
      </c>
      <c r="N98">
        <v>473.27</v>
      </c>
      <c r="O98" t="s">
        <v>70</v>
      </c>
      <c r="P98">
        <v>33.82</v>
      </c>
      <c r="Q98" t="str">
        <f t="shared" si="8"/>
        <v>2018-04</v>
      </c>
      <c r="R98">
        <f t="shared" si="9"/>
        <v>1756.516460613909</v>
      </c>
      <c r="S98">
        <f t="shared" si="10"/>
        <v>30.686870381095545</v>
      </c>
      <c r="T98" t="str">
        <f t="shared" si="11"/>
        <v>Haryana</v>
      </c>
      <c r="U98" t="str">
        <f t="shared" si="12"/>
        <v>Faridabad</v>
      </c>
      <c r="V98" t="str">
        <f t="shared" si="13"/>
        <v>Pulses</v>
      </c>
      <c r="W98" t="str">
        <f t="shared" si="14"/>
        <v>Urea</v>
      </c>
      <c r="X98" t="str">
        <f t="shared" si="15"/>
        <v>Food</v>
      </c>
    </row>
    <row r="99" spans="1:24" x14ac:dyDescent="0.25">
      <c r="A99" t="s">
        <v>163</v>
      </c>
      <c r="B99" s="1">
        <v>43577</v>
      </c>
      <c r="C99">
        <v>2019</v>
      </c>
      <c r="D99" t="s">
        <v>103</v>
      </c>
      <c r="E99" t="s">
        <v>104</v>
      </c>
      <c r="F99" t="s">
        <v>19</v>
      </c>
      <c r="G99" t="s">
        <v>46</v>
      </c>
      <c r="H99">
        <v>7.89</v>
      </c>
      <c r="I99">
        <v>42.97</v>
      </c>
      <c r="J99">
        <v>5445.81</v>
      </c>
      <c r="K99" t="s">
        <v>21</v>
      </c>
      <c r="L99" t="s">
        <v>41</v>
      </c>
      <c r="M99">
        <v>72.94</v>
      </c>
      <c r="N99">
        <v>730.48</v>
      </c>
      <c r="O99" t="s">
        <v>52</v>
      </c>
      <c r="P99">
        <v>26.3</v>
      </c>
      <c r="Q99" t="str">
        <f t="shared" si="8"/>
        <v>2019-04</v>
      </c>
      <c r="R99">
        <f t="shared" si="9"/>
        <v>2203.8445195362297</v>
      </c>
      <c r="S99">
        <f t="shared" si="10"/>
        <v>30.21448477565437</v>
      </c>
      <c r="T99" t="str">
        <f t="shared" si="11"/>
        <v>Haryana</v>
      </c>
      <c r="U99" t="str">
        <f t="shared" si="12"/>
        <v>Gurgaon</v>
      </c>
      <c r="V99" t="str">
        <f t="shared" si="13"/>
        <v>Sugarcane</v>
      </c>
      <c r="W99" t="str">
        <f t="shared" si="14"/>
        <v>Dap</v>
      </c>
      <c r="X99" t="str">
        <f t="shared" si="15"/>
        <v>Cash</v>
      </c>
    </row>
    <row r="100" spans="1:24" x14ac:dyDescent="0.25">
      <c r="A100" t="s">
        <v>164</v>
      </c>
      <c r="B100" s="1">
        <v>44609</v>
      </c>
      <c r="C100">
        <v>2021</v>
      </c>
      <c r="D100" t="s">
        <v>31</v>
      </c>
      <c r="E100" t="s">
        <v>32</v>
      </c>
      <c r="F100" t="s">
        <v>38</v>
      </c>
      <c r="G100" t="s">
        <v>27</v>
      </c>
      <c r="H100">
        <v>60.03</v>
      </c>
      <c r="I100">
        <v>378.19</v>
      </c>
      <c r="J100">
        <v>6300.05</v>
      </c>
      <c r="K100" t="s">
        <v>40</v>
      </c>
      <c r="L100" t="s">
        <v>29</v>
      </c>
      <c r="M100">
        <v>89.35</v>
      </c>
      <c r="N100">
        <v>817.84</v>
      </c>
      <c r="O100" t="s">
        <v>23</v>
      </c>
      <c r="P100">
        <v>24.08</v>
      </c>
      <c r="Q100" t="str">
        <f t="shared" si="8"/>
        <v>2022-02</v>
      </c>
      <c r="R100">
        <f t="shared" si="9"/>
        <v>2549.5437162339899</v>
      </c>
      <c r="S100">
        <f t="shared" si="10"/>
        <v>28.534344893497369</v>
      </c>
      <c r="T100" t="str">
        <f t="shared" si="11"/>
        <v>Maharashtra</v>
      </c>
      <c r="U100" t="str">
        <f t="shared" si="12"/>
        <v>Pune</v>
      </c>
      <c r="V100" t="str">
        <f t="shared" si="13"/>
        <v>Pulses</v>
      </c>
      <c r="W100" t="str">
        <f t="shared" si="14"/>
        <v>Compost</v>
      </c>
      <c r="X100" t="str">
        <f t="shared" si="15"/>
        <v>Food</v>
      </c>
    </row>
    <row r="101" spans="1:24" x14ac:dyDescent="0.25">
      <c r="A101" t="s">
        <v>165</v>
      </c>
      <c r="B101" s="1">
        <v>42753</v>
      </c>
      <c r="C101">
        <v>2016</v>
      </c>
      <c r="D101" t="s">
        <v>59</v>
      </c>
      <c r="E101" t="s">
        <v>63</v>
      </c>
      <c r="F101" t="s">
        <v>38</v>
      </c>
      <c r="G101" t="s">
        <v>56</v>
      </c>
      <c r="H101">
        <v>75.739999999999995</v>
      </c>
      <c r="I101">
        <v>127.46</v>
      </c>
      <c r="J101">
        <v>1682.91</v>
      </c>
      <c r="K101" t="s">
        <v>28</v>
      </c>
      <c r="L101" t="s">
        <v>22</v>
      </c>
      <c r="M101">
        <v>77.72</v>
      </c>
      <c r="N101">
        <v>878.22</v>
      </c>
      <c r="O101" t="s">
        <v>61</v>
      </c>
      <c r="P101">
        <v>27.3</v>
      </c>
      <c r="Q101" t="str">
        <f t="shared" si="8"/>
        <v>2017-01</v>
      </c>
      <c r="R101">
        <f t="shared" si="9"/>
        <v>681.05056554905809</v>
      </c>
      <c r="S101">
        <f t="shared" si="10"/>
        <v>8.7628739777284874</v>
      </c>
      <c r="T101" t="str">
        <f t="shared" si="11"/>
        <v>Bihar</v>
      </c>
      <c r="U101" t="str">
        <f t="shared" si="12"/>
        <v>Gaya</v>
      </c>
      <c r="V101" t="str">
        <f t="shared" si="13"/>
        <v>Rice</v>
      </c>
      <c r="W101" t="str">
        <f t="shared" si="14"/>
        <v>Urea</v>
      </c>
      <c r="X101" t="str">
        <f t="shared" si="15"/>
        <v>Food</v>
      </c>
    </row>
    <row r="102" spans="1:24" x14ac:dyDescent="0.25">
      <c r="A102" t="s">
        <v>166</v>
      </c>
      <c r="B102" s="1">
        <v>43727</v>
      </c>
      <c r="C102">
        <v>2019</v>
      </c>
      <c r="D102" t="s">
        <v>103</v>
      </c>
      <c r="E102" t="s">
        <v>107</v>
      </c>
      <c r="F102" t="s">
        <v>33</v>
      </c>
      <c r="G102" t="s">
        <v>64</v>
      </c>
      <c r="H102">
        <v>21.24</v>
      </c>
      <c r="I102">
        <v>141.71</v>
      </c>
      <c r="J102">
        <v>6671.94</v>
      </c>
      <c r="K102" t="s">
        <v>40</v>
      </c>
      <c r="L102" t="s">
        <v>41</v>
      </c>
      <c r="M102">
        <v>241.04</v>
      </c>
      <c r="N102">
        <v>489.45</v>
      </c>
      <c r="O102" t="s">
        <v>23</v>
      </c>
      <c r="P102">
        <v>20.12</v>
      </c>
      <c r="Q102" t="str">
        <f t="shared" si="8"/>
        <v>2019-09</v>
      </c>
      <c r="R102">
        <f t="shared" si="9"/>
        <v>2700.0424920580317</v>
      </c>
      <c r="S102">
        <f t="shared" si="10"/>
        <v>11.201636624867374</v>
      </c>
      <c r="T102" t="str">
        <f t="shared" si="11"/>
        <v>Haryana</v>
      </c>
      <c r="U102" t="str">
        <f t="shared" si="12"/>
        <v>Faridabad</v>
      </c>
      <c r="V102" t="str">
        <f t="shared" si="13"/>
        <v>Wheat</v>
      </c>
      <c r="W102" t="str">
        <f t="shared" si="14"/>
        <v>Dap</v>
      </c>
      <c r="X102" t="str">
        <f t="shared" si="15"/>
        <v>Food</v>
      </c>
    </row>
    <row r="103" spans="1:24" x14ac:dyDescent="0.25">
      <c r="A103" t="s">
        <v>167</v>
      </c>
      <c r="B103" s="1">
        <v>43220</v>
      </c>
      <c r="C103">
        <v>2018</v>
      </c>
      <c r="D103" t="s">
        <v>103</v>
      </c>
      <c r="E103" t="s">
        <v>107</v>
      </c>
      <c r="F103" t="s">
        <v>19</v>
      </c>
      <c r="G103" t="s">
        <v>56</v>
      </c>
      <c r="H103">
        <v>50.53</v>
      </c>
      <c r="I103">
        <v>303.19</v>
      </c>
      <c r="J103">
        <v>6000.13</v>
      </c>
      <c r="K103" t="s">
        <v>34</v>
      </c>
      <c r="L103" t="s">
        <v>22</v>
      </c>
      <c r="M103">
        <v>68.02</v>
      </c>
      <c r="N103">
        <v>1061.76</v>
      </c>
      <c r="O103" t="s">
        <v>23</v>
      </c>
      <c r="P103">
        <v>26.54</v>
      </c>
      <c r="Q103" t="str">
        <f t="shared" si="8"/>
        <v>2018-04</v>
      </c>
      <c r="R103">
        <f t="shared" si="9"/>
        <v>2428.1702110438882</v>
      </c>
      <c r="S103">
        <f t="shared" si="10"/>
        <v>35.697886078269455</v>
      </c>
      <c r="T103" t="str">
        <f t="shared" si="11"/>
        <v>Haryana</v>
      </c>
      <c r="U103" t="str">
        <f t="shared" si="12"/>
        <v>Faridabad</v>
      </c>
      <c r="V103" t="str">
        <f t="shared" si="13"/>
        <v>Rice</v>
      </c>
      <c r="W103" t="str">
        <f t="shared" si="14"/>
        <v>Urea</v>
      </c>
      <c r="X103" t="str">
        <f t="shared" si="15"/>
        <v>Food</v>
      </c>
    </row>
    <row r="104" spans="1:24" x14ac:dyDescent="0.25">
      <c r="A104" t="s">
        <v>168</v>
      </c>
      <c r="B104" s="1">
        <v>43887</v>
      </c>
      <c r="C104">
        <v>2019</v>
      </c>
      <c r="D104" t="s">
        <v>44</v>
      </c>
      <c r="E104" t="s">
        <v>99</v>
      </c>
      <c r="F104" t="s">
        <v>38</v>
      </c>
      <c r="G104" t="s">
        <v>27</v>
      </c>
      <c r="H104">
        <v>41.04</v>
      </c>
      <c r="I104">
        <v>198.67</v>
      </c>
      <c r="J104">
        <v>4840.8500000000004</v>
      </c>
      <c r="K104" t="s">
        <v>34</v>
      </c>
      <c r="L104" t="s">
        <v>49</v>
      </c>
      <c r="M104">
        <v>78.790000000000006</v>
      </c>
      <c r="N104">
        <v>220.86</v>
      </c>
      <c r="O104" t="s">
        <v>70</v>
      </c>
      <c r="P104">
        <v>22.58</v>
      </c>
      <c r="Q104" t="str">
        <f t="shared" si="8"/>
        <v>2020-02</v>
      </c>
      <c r="R104">
        <f t="shared" si="9"/>
        <v>1959.0255154691326</v>
      </c>
      <c r="S104">
        <f t="shared" si="10"/>
        <v>24.863885207121875</v>
      </c>
      <c r="T104" t="str">
        <f t="shared" si="11"/>
        <v>West Bengal</v>
      </c>
      <c r="U104" t="str">
        <f t="shared" si="12"/>
        <v>Howrah</v>
      </c>
      <c r="V104" t="str">
        <f t="shared" si="13"/>
        <v>Pulses</v>
      </c>
      <c r="W104" t="str">
        <f t="shared" si="14"/>
        <v>Npk</v>
      </c>
      <c r="X104" t="str">
        <f t="shared" si="15"/>
        <v>Food</v>
      </c>
    </row>
    <row r="105" spans="1:24" x14ac:dyDescent="0.25">
      <c r="A105" t="s">
        <v>169</v>
      </c>
      <c r="B105" s="1">
        <v>40738</v>
      </c>
      <c r="C105">
        <v>2011</v>
      </c>
      <c r="D105" t="s">
        <v>25</v>
      </c>
      <c r="E105" t="s">
        <v>87</v>
      </c>
      <c r="F105" t="s">
        <v>33</v>
      </c>
      <c r="G105" t="s">
        <v>46</v>
      </c>
      <c r="H105">
        <v>59.3</v>
      </c>
      <c r="I105">
        <v>245.73</v>
      </c>
      <c r="J105">
        <v>4143.78</v>
      </c>
      <c r="K105" t="s">
        <v>28</v>
      </c>
      <c r="L105" t="s">
        <v>22</v>
      </c>
      <c r="M105">
        <v>267.63</v>
      </c>
      <c r="N105">
        <v>945.8</v>
      </c>
      <c r="O105" t="s">
        <v>42</v>
      </c>
      <c r="P105">
        <v>25</v>
      </c>
      <c r="Q105" t="str">
        <f t="shared" si="8"/>
        <v>2011-07</v>
      </c>
      <c r="R105">
        <f t="shared" si="9"/>
        <v>1676.9308593512878</v>
      </c>
      <c r="S105">
        <f t="shared" si="10"/>
        <v>6.2658553202230234</v>
      </c>
      <c r="T105" t="str">
        <f t="shared" si="11"/>
        <v>Punjab</v>
      </c>
      <c r="U105" t="str">
        <f t="shared" si="12"/>
        <v>Amritsar</v>
      </c>
      <c r="V105" t="str">
        <f t="shared" si="13"/>
        <v>Sugarcane</v>
      </c>
      <c r="W105" t="str">
        <f t="shared" si="14"/>
        <v>Urea</v>
      </c>
      <c r="X105" t="str">
        <f t="shared" si="15"/>
        <v>Cash</v>
      </c>
    </row>
    <row r="106" spans="1:24" x14ac:dyDescent="0.25">
      <c r="A106" t="s">
        <v>170</v>
      </c>
      <c r="B106" s="1">
        <v>40643</v>
      </c>
      <c r="C106">
        <v>2011</v>
      </c>
      <c r="D106" t="s">
        <v>59</v>
      </c>
      <c r="E106" t="s">
        <v>93</v>
      </c>
      <c r="F106" t="s">
        <v>19</v>
      </c>
      <c r="G106" t="s">
        <v>27</v>
      </c>
      <c r="H106">
        <v>20.2</v>
      </c>
      <c r="I106">
        <v>114.28</v>
      </c>
      <c r="J106">
        <v>5657.37</v>
      </c>
      <c r="K106" t="s">
        <v>34</v>
      </c>
      <c r="L106" t="s">
        <v>49</v>
      </c>
      <c r="M106">
        <v>231.84</v>
      </c>
      <c r="N106">
        <v>1018.95</v>
      </c>
      <c r="O106" t="s">
        <v>42</v>
      </c>
      <c r="P106">
        <v>23.54</v>
      </c>
      <c r="Q106" t="str">
        <f t="shared" si="8"/>
        <v>2011-04</v>
      </c>
      <c r="R106">
        <f t="shared" si="9"/>
        <v>2289.4599461767266</v>
      </c>
      <c r="S106">
        <f t="shared" si="10"/>
        <v>9.8751723006242518</v>
      </c>
      <c r="T106" t="str">
        <f t="shared" si="11"/>
        <v>Bihar</v>
      </c>
      <c r="U106" t="str">
        <f t="shared" si="12"/>
        <v>Bhagalpur</v>
      </c>
      <c r="V106" t="str">
        <f t="shared" si="13"/>
        <v>Pulses</v>
      </c>
      <c r="W106" t="str">
        <f t="shared" si="14"/>
        <v>Npk</v>
      </c>
      <c r="X106" t="str">
        <f t="shared" si="15"/>
        <v>Food</v>
      </c>
    </row>
    <row r="107" spans="1:24" x14ac:dyDescent="0.25">
      <c r="A107" t="s">
        <v>171</v>
      </c>
      <c r="B107" s="1">
        <v>43761</v>
      </c>
      <c r="C107">
        <v>2019</v>
      </c>
      <c r="D107" t="s">
        <v>103</v>
      </c>
      <c r="E107" t="s">
        <v>104</v>
      </c>
      <c r="F107" t="s">
        <v>33</v>
      </c>
      <c r="G107" t="s">
        <v>39</v>
      </c>
      <c r="H107">
        <v>8.4600000000000009</v>
      </c>
      <c r="I107">
        <v>56.75</v>
      </c>
      <c r="J107">
        <v>6707.75</v>
      </c>
      <c r="K107" t="s">
        <v>28</v>
      </c>
      <c r="L107" t="s">
        <v>47</v>
      </c>
      <c r="M107">
        <v>165.99</v>
      </c>
      <c r="N107">
        <v>763.74</v>
      </c>
      <c r="O107" t="s">
        <v>61</v>
      </c>
      <c r="P107">
        <v>26.73</v>
      </c>
      <c r="Q107" t="str">
        <f t="shared" si="8"/>
        <v>2019-10</v>
      </c>
      <c r="R107">
        <f t="shared" si="9"/>
        <v>2714.5343072782825</v>
      </c>
      <c r="S107">
        <f t="shared" si="10"/>
        <v>16.353601465620113</v>
      </c>
      <c r="T107" t="str">
        <f t="shared" si="11"/>
        <v>Haryana</v>
      </c>
      <c r="U107" t="str">
        <f t="shared" si="12"/>
        <v>Gurgaon</v>
      </c>
      <c r="V107" t="str">
        <f t="shared" si="13"/>
        <v>Cotton</v>
      </c>
      <c r="W107" t="str">
        <f t="shared" si="14"/>
        <v>Vermicompost</v>
      </c>
      <c r="X107" t="str">
        <f t="shared" si="15"/>
        <v>Cash</v>
      </c>
    </row>
    <row r="108" spans="1:24" x14ac:dyDescent="0.25">
      <c r="A108" t="s">
        <v>172</v>
      </c>
      <c r="B108" s="1">
        <v>42235</v>
      </c>
      <c r="C108">
        <v>2015</v>
      </c>
      <c r="D108" t="s">
        <v>31</v>
      </c>
      <c r="E108" t="s">
        <v>117</v>
      </c>
      <c r="F108" t="s">
        <v>33</v>
      </c>
      <c r="G108" t="s">
        <v>46</v>
      </c>
      <c r="H108">
        <v>7.76</v>
      </c>
      <c r="I108">
        <v>28.35</v>
      </c>
      <c r="J108">
        <v>3653.25</v>
      </c>
      <c r="K108" t="s">
        <v>34</v>
      </c>
      <c r="L108" t="s">
        <v>29</v>
      </c>
      <c r="M108">
        <v>249.08</v>
      </c>
      <c r="N108">
        <v>791.42</v>
      </c>
      <c r="O108" t="s">
        <v>70</v>
      </c>
      <c r="P108">
        <v>27.61</v>
      </c>
      <c r="Q108" t="str">
        <f t="shared" si="8"/>
        <v>2015-08</v>
      </c>
      <c r="R108">
        <f t="shared" si="9"/>
        <v>1478.4201048137431</v>
      </c>
      <c r="S108">
        <f t="shared" si="10"/>
        <v>5.9355231444264618</v>
      </c>
      <c r="T108" t="str">
        <f t="shared" si="11"/>
        <v>Maharashtra</v>
      </c>
      <c r="U108" t="str">
        <f t="shared" si="12"/>
        <v>Mumbai</v>
      </c>
      <c r="V108" t="str">
        <f t="shared" si="13"/>
        <v>Sugarcane</v>
      </c>
      <c r="W108" t="str">
        <f t="shared" si="14"/>
        <v>Compost</v>
      </c>
      <c r="X108" t="str">
        <f t="shared" si="15"/>
        <v>Cash</v>
      </c>
    </row>
    <row r="109" spans="1:24" x14ac:dyDescent="0.25">
      <c r="A109" t="s">
        <v>173</v>
      </c>
      <c r="B109" s="1">
        <v>40493</v>
      </c>
      <c r="C109">
        <v>2010</v>
      </c>
      <c r="D109" t="s">
        <v>36</v>
      </c>
      <c r="E109" t="s">
        <v>37</v>
      </c>
      <c r="F109" t="s">
        <v>38</v>
      </c>
      <c r="G109" t="s">
        <v>20</v>
      </c>
      <c r="H109">
        <v>8.6</v>
      </c>
      <c r="I109">
        <v>53.2</v>
      </c>
      <c r="J109">
        <v>6185.5</v>
      </c>
      <c r="K109" t="s">
        <v>21</v>
      </c>
      <c r="L109" t="s">
        <v>29</v>
      </c>
      <c r="M109">
        <v>203.75</v>
      </c>
      <c r="N109">
        <v>707.07</v>
      </c>
      <c r="O109" t="s">
        <v>52</v>
      </c>
      <c r="P109">
        <v>28.7</v>
      </c>
      <c r="Q109" t="str">
        <f t="shared" si="8"/>
        <v>2010-11</v>
      </c>
      <c r="R109">
        <f t="shared" si="9"/>
        <v>2503.1869043524007</v>
      </c>
      <c r="S109">
        <f t="shared" si="10"/>
        <v>12.285579898662089</v>
      </c>
      <c r="T109" t="str">
        <f t="shared" si="11"/>
        <v>Karnataka</v>
      </c>
      <c r="U109" t="str">
        <f t="shared" si="12"/>
        <v>Bangalore</v>
      </c>
      <c r="V109" t="str">
        <f t="shared" si="13"/>
        <v>Maize</v>
      </c>
      <c r="W109" t="str">
        <f t="shared" si="14"/>
        <v>Compost</v>
      </c>
      <c r="X109" t="str">
        <f t="shared" si="15"/>
        <v>Food</v>
      </c>
    </row>
    <row r="110" spans="1:24" x14ac:dyDescent="0.25">
      <c r="A110" t="s">
        <v>174</v>
      </c>
      <c r="B110" s="1">
        <v>44004</v>
      </c>
      <c r="C110">
        <v>2020</v>
      </c>
      <c r="D110" t="s">
        <v>44</v>
      </c>
      <c r="E110" t="s">
        <v>67</v>
      </c>
      <c r="F110" t="s">
        <v>33</v>
      </c>
      <c r="G110" t="s">
        <v>20</v>
      </c>
      <c r="H110">
        <v>60.9</v>
      </c>
      <c r="I110">
        <v>244.1</v>
      </c>
      <c r="J110">
        <v>4008.2</v>
      </c>
      <c r="K110" t="s">
        <v>21</v>
      </c>
      <c r="L110" t="s">
        <v>47</v>
      </c>
      <c r="M110">
        <v>162.63</v>
      </c>
      <c r="N110">
        <v>1010.97</v>
      </c>
      <c r="O110" t="s">
        <v>70</v>
      </c>
      <c r="P110">
        <v>34.74</v>
      </c>
      <c r="Q110" t="str">
        <f t="shared" si="8"/>
        <v>2020-06</v>
      </c>
      <c r="R110">
        <f t="shared" si="9"/>
        <v>1622.0634952752878</v>
      </c>
      <c r="S110">
        <f t="shared" si="10"/>
        <v>9.9739500416607498</v>
      </c>
      <c r="T110" t="str">
        <f t="shared" si="11"/>
        <v>West Bengal</v>
      </c>
      <c r="U110" t="str">
        <f t="shared" si="12"/>
        <v>Darjeeling</v>
      </c>
      <c r="V110" t="str">
        <f t="shared" si="13"/>
        <v>Maize</v>
      </c>
      <c r="W110" t="str">
        <f t="shared" si="14"/>
        <v>Vermicompost</v>
      </c>
      <c r="X110" t="str">
        <f t="shared" si="15"/>
        <v>Food</v>
      </c>
    </row>
    <row r="111" spans="1:24" x14ac:dyDescent="0.25">
      <c r="A111" t="s">
        <v>175</v>
      </c>
      <c r="B111" s="1">
        <v>40416</v>
      </c>
      <c r="C111">
        <v>2010</v>
      </c>
      <c r="D111" t="s">
        <v>17</v>
      </c>
      <c r="E111" t="s">
        <v>18</v>
      </c>
      <c r="F111" t="s">
        <v>33</v>
      </c>
      <c r="G111" t="s">
        <v>39</v>
      </c>
      <c r="H111">
        <v>44.34</v>
      </c>
      <c r="I111">
        <v>161.24</v>
      </c>
      <c r="J111">
        <v>3636.53</v>
      </c>
      <c r="K111" t="s">
        <v>40</v>
      </c>
      <c r="L111" t="s">
        <v>47</v>
      </c>
      <c r="M111">
        <v>140.97</v>
      </c>
      <c r="N111">
        <v>1117.94</v>
      </c>
      <c r="O111" t="s">
        <v>52</v>
      </c>
      <c r="P111">
        <v>26.13</v>
      </c>
      <c r="Q111" t="str">
        <f t="shared" si="8"/>
        <v>2010-08</v>
      </c>
      <c r="R111">
        <f t="shared" si="9"/>
        <v>1471.6537504299793</v>
      </c>
      <c r="S111">
        <f t="shared" si="10"/>
        <v>10.439481807689432</v>
      </c>
      <c r="T111" t="str">
        <f t="shared" si="11"/>
        <v>Uttar Pradesh</v>
      </c>
      <c r="U111" t="str">
        <f t="shared" si="12"/>
        <v>Lucknow</v>
      </c>
      <c r="V111" t="str">
        <f t="shared" si="13"/>
        <v>Cotton</v>
      </c>
      <c r="W111" t="str">
        <f t="shared" si="14"/>
        <v>Vermicompost</v>
      </c>
      <c r="X111" t="str">
        <f t="shared" si="15"/>
        <v>Cash</v>
      </c>
    </row>
    <row r="112" spans="1:24" x14ac:dyDescent="0.25">
      <c r="A112" t="s">
        <v>176</v>
      </c>
      <c r="B112" s="1">
        <v>44221</v>
      </c>
      <c r="C112">
        <v>2020</v>
      </c>
      <c r="D112" t="s">
        <v>25</v>
      </c>
      <c r="E112" t="s">
        <v>69</v>
      </c>
      <c r="F112" t="s">
        <v>38</v>
      </c>
      <c r="G112" t="s">
        <v>64</v>
      </c>
      <c r="H112">
        <v>33.64</v>
      </c>
      <c r="I112">
        <v>146.26</v>
      </c>
      <c r="J112">
        <v>4347.78</v>
      </c>
      <c r="K112" t="s">
        <v>28</v>
      </c>
      <c r="L112" t="s">
        <v>22</v>
      </c>
      <c r="M112">
        <v>121.04</v>
      </c>
      <c r="N112">
        <v>923.73</v>
      </c>
      <c r="O112" t="s">
        <v>61</v>
      </c>
      <c r="P112">
        <v>33.1</v>
      </c>
      <c r="Q112" t="str">
        <f t="shared" si="8"/>
        <v>2021-01</v>
      </c>
      <c r="R112">
        <f t="shared" si="9"/>
        <v>1759.4868578134801</v>
      </c>
      <c r="S112">
        <f t="shared" si="10"/>
        <v>14.536408276714145</v>
      </c>
      <c r="T112" t="str">
        <f t="shared" si="11"/>
        <v>Punjab</v>
      </c>
      <c r="U112" t="str">
        <f t="shared" si="12"/>
        <v>Patiala</v>
      </c>
      <c r="V112" t="str">
        <f t="shared" si="13"/>
        <v>Wheat</v>
      </c>
      <c r="W112" t="str">
        <f t="shared" si="14"/>
        <v>Urea</v>
      </c>
      <c r="X112" t="str">
        <f t="shared" si="15"/>
        <v>Food</v>
      </c>
    </row>
    <row r="113" spans="1:24" x14ac:dyDescent="0.25">
      <c r="A113" t="s">
        <v>177</v>
      </c>
      <c r="B113" s="1">
        <v>41310</v>
      </c>
      <c r="C113">
        <v>2012</v>
      </c>
      <c r="D113" t="s">
        <v>59</v>
      </c>
      <c r="E113" t="s">
        <v>93</v>
      </c>
      <c r="F113" t="s">
        <v>38</v>
      </c>
      <c r="G113" t="s">
        <v>20</v>
      </c>
      <c r="H113">
        <v>96.8</v>
      </c>
      <c r="I113">
        <v>502.48</v>
      </c>
      <c r="J113">
        <v>5190.88</v>
      </c>
      <c r="K113" t="s">
        <v>28</v>
      </c>
      <c r="L113" t="s">
        <v>49</v>
      </c>
      <c r="M113">
        <v>82.24</v>
      </c>
      <c r="N113">
        <v>908.83</v>
      </c>
      <c r="O113" t="s">
        <v>23</v>
      </c>
      <c r="P113">
        <v>24.64</v>
      </c>
      <c r="Q113" t="str">
        <f t="shared" si="8"/>
        <v>2013-02</v>
      </c>
      <c r="R113">
        <f t="shared" si="9"/>
        <v>2100.6778494971772</v>
      </c>
      <c r="S113">
        <f t="shared" si="10"/>
        <v>25.543261788632993</v>
      </c>
      <c r="T113" t="str">
        <f t="shared" si="11"/>
        <v>Bihar</v>
      </c>
      <c r="U113" t="str">
        <f t="shared" si="12"/>
        <v>Bhagalpur</v>
      </c>
      <c r="V113" t="str">
        <f t="shared" si="13"/>
        <v>Maize</v>
      </c>
      <c r="W113" t="str">
        <f t="shared" si="14"/>
        <v>Npk</v>
      </c>
      <c r="X113" t="str">
        <f t="shared" si="15"/>
        <v>Food</v>
      </c>
    </row>
    <row r="114" spans="1:24" x14ac:dyDescent="0.25">
      <c r="A114" t="s">
        <v>178</v>
      </c>
      <c r="B114" s="1">
        <v>43941</v>
      </c>
      <c r="C114">
        <v>2020</v>
      </c>
      <c r="D114" t="s">
        <v>44</v>
      </c>
      <c r="E114" t="s">
        <v>45</v>
      </c>
      <c r="F114" t="s">
        <v>19</v>
      </c>
      <c r="G114" t="s">
        <v>39</v>
      </c>
      <c r="H114">
        <v>99.72</v>
      </c>
      <c r="I114">
        <v>645.66</v>
      </c>
      <c r="J114">
        <v>6474.69</v>
      </c>
      <c r="K114" t="s">
        <v>21</v>
      </c>
      <c r="L114" t="s">
        <v>41</v>
      </c>
      <c r="M114">
        <v>211.51</v>
      </c>
      <c r="N114">
        <v>623.41</v>
      </c>
      <c r="O114" t="s">
        <v>70</v>
      </c>
      <c r="P114">
        <v>20.27</v>
      </c>
      <c r="Q114" t="str">
        <f t="shared" si="8"/>
        <v>2020-04</v>
      </c>
      <c r="R114">
        <f t="shared" si="9"/>
        <v>2620.2181258978976</v>
      </c>
      <c r="S114">
        <f t="shared" si="10"/>
        <v>12.388152455665915</v>
      </c>
      <c r="T114" t="str">
        <f t="shared" si="11"/>
        <v>West Bengal</v>
      </c>
      <c r="U114" t="str">
        <f t="shared" si="12"/>
        <v>Kolkata</v>
      </c>
      <c r="V114" t="str">
        <f t="shared" si="13"/>
        <v>Cotton</v>
      </c>
      <c r="W114" t="str">
        <f t="shared" si="14"/>
        <v>Dap</v>
      </c>
      <c r="X114" t="str">
        <f t="shared" si="15"/>
        <v>Cash</v>
      </c>
    </row>
    <row r="115" spans="1:24" x14ac:dyDescent="0.25">
      <c r="A115" t="s">
        <v>179</v>
      </c>
      <c r="B115" s="1">
        <v>45000</v>
      </c>
      <c r="C115">
        <v>2022</v>
      </c>
      <c r="D115" t="s">
        <v>103</v>
      </c>
      <c r="E115" t="s">
        <v>107</v>
      </c>
      <c r="F115" t="s">
        <v>38</v>
      </c>
      <c r="G115" t="s">
        <v>56</v>
      </c>
      <c r="H115">
        <v>23.43</v>
      </c>
      <c r="I115">
        <v>42.77</v>
      </c>
      <c r="J115">
        <v>1825.39</v>
      </c>
      <c r="K115" t="s">
        <v>21</v>
      </c>
      <c r="L115" t="s">
        <v>22</v>
      </c>
      <c r="M115">
        <v>123.95</v>
      </c>
      <c r="N115">
        <v>988.12</v>
      </c>
      <c r="O115" t="s">
        <v>61</v>
      </c>
      <c r="P115">
        <v>31.56</v>
      </c>
      <c r="Q115" t="str">
        <f t="shared" si="8"/>
        <v>2023-03</v>
      </c>
      <c r="R115">
        <f t="shared" si="9"/>
        <v>738.71026486716175</v>
      </c>
      <c r="S115">
        <f t="shared" si="10"/>
        <v>5.959743968270768</v>
      </c>
      <c r="T115" t="str">
        <f t="shared" si="11"/>
        <v>Haryana</v>
      </c>
      <c r="U115" t="str">
        <f t="shared" si="12"/>
        <v>Faridabad</v>
      </c>
      <c r="V115" t="str">
        <f t="shared" si="13"/>
        <v>Rice</v>
      </c>
      <c r="W115" t="str">
        <f t="shared" si="14"/>
        <v>Urea</v>
      </c>
      <c r="X115" t="str">
        <f t="shared" si="15"/>
        <v>Food</v>
      </c>
    </row>
    <row r="116" spans="1:24" x14ac:dyDescent="0.25">
      <c r="A116" t="s">
        <v>180</v>
      </c>
      <c r="B116" s="1">
        <v>44654</v>
      </c>
      <c r="C116">
        <v>2022</v>
      </c>
      <c r="D116" t="s">
        <v>17</v>
      </c>
      <c r="E116" t="s">
        <v>72</v>
      </c>
      <c r="F116" t="s">
        <v>19</v>
      </c>
      <c r="G116" t="s">
        <v>56</v>
      </c>
      <c r="H116">
        <v>60.13</v>
      </c>
      <c r="I116">
        <v>115.78</v>
      </c>
      <c r="J116">
        <v>1925.52</v>
      </c>
      <c r="K116" t="s">
        <v>40</v>
      </c>
      <c r="L116" t="s">
        <v>29</v>
      </c>
      <c r="M116">
        <v>257.83999999999997</v>
      </c>
      <c r="N116">
        <v>971.1</v>
      </c>
      <c r="O116" t="s">
        <v>42</v>
      </c>
      <c r="P116">
        <v>30.82</v>
      </c>
      <c r="Q116" t="str">
        <f t="shared" si="8"/>
        <v>2022-04</v>
      </c>
      <c r="R116">
        <f t="shared" si="9"/>
        <v>779.23150077902108</v>
      </c>
      <c r="S116">
        <f t="shared" si="10"/>
        <v>3.0221513371820552</v>
      </c>
      <c r="T116" t="str">
        <f t="shared" si="11"/>
        <v>Uttar Pradesh</v>
      </c>
      <c r="U116" t="str">
        <f t="shared" si="12"/>
        <v>Kanpur</v>
      </c>
      <c r="V116" t="str">
        <f t="shared" si="13"/>
        <v>Rice</v>
      </c>
      <c r="W116" t="str">
        <f t="shared" si="14"/>
        <v>Compost</v>
      </c>
      <c r="X116" t="str">
        <f t="shared" si="15"/>
        <v>Food</v>
      </c>
    </row>
    <row r="117" spans="1:24" x14ac:dyDescent="0.25">
      <c r="A117" t="s">
        <v>181</v>
      </c>
      <c r="B117" s="1">
        <v>44397</v>
      </c>
      <c r="C117">
        <v>2021</v>
      </c>
      <c r="D117" t="s">
        <v>31</v>
      </c>
      <c r="E117" t="s">
        <v>117</v>
      </c>
      <c r="F117" t="s">
        <v>33</v>
      </c>
      <c r="G117" t="s">
        <v>46</v>
      </c>
      <c r="H117">
        <v>61.45</v>
      </c>
      <c r="I117">
        <v>338.86</v>
      </c>
      <c r="J117">
        <v>5514.35</v>
      </c>
      <c r="K117" t="s">
        <v>28</v>
      </c>
      <c r="L117" t="s">
        <v>49</v>
      </c>
      <c r="M117">
        <v>108.5</v>
      </c>
      <c r="N117">
        <v>439.17</v>
      </c>
      <c r="O117" t="s">
        <v>52</v>
      </c>
      <c r="P117">
        <v>33.56</v>
      </c>
      <c r="Q117" t="str">
        <f t="shared" si="8"/>
        <v>2021-07</v>
      </c>
      <c r="R117">
        <f t="shared" si="9"/>
        <v>2231.5817162744584</v>
      </c>
      <c r="S117">
        <f t="shared" si="10"/>
        <v>20.567573421884408</v>
      </c>
      <c r="T117" t="str">
        <f t="shared" si="11"/>
        <v>Maharashtra</v>
      </c>
      <c r="U117" t="str">
        <f t="shared" si="12"/>
        <v>Mumbai</v>
      </c>
      <c r="V117" t="str">
        <f t="shared" si="13"/>
        <v>Sugarcane</v>
      </c>
      <c r="W117" t="str">
        <f t="shared" si="14"/>
        <v>Npk</v>
      </c>
      <c r="X117" t="str">
        <f t="shared" si="15"/>
        <v>Cash</v>
      </c>
    </row>
    <row r="118" spans="1:24" x14ac:dyDescent="0.25">
      <c r="A118" t="s">
        <v>182</v>
      </c>
      <c r="B118" s="1">
        <v>43104</v>
      </c>
      <c r="C118">
        <v>2017</v>
      </c>
      <c r="D118" t="s">
        <v>17</v>
      </c>
      <c r="E118" t="s">
        <v>54</v>
      </c>
      <c r="F118" t="s">
        <v>38</v>
      </c>
      <c r="G118" t="s">
        <v>20</v>
      </c>
      <c r="H118">
        <v>78.03</v>
      </c>
      <c r="I118">
        <v>313.48</v>
      </c>
      <c r="J118">
        <v>4017.44</v>
      </c>
      <c r="K118" t="s">
        <v>28</v>
      </c>
      <c r="L118" t="s">
        <v>22</v>
      </c>
      <c r="M118">
        <v>291.57</v>
      </c>
      <c r="N118">
        <v>1016.89</v>
      </c>
      <c r="O118" t="s">
        <v>61</v>
      </c>
      <c r="P118">
        <v>22.08</v>
      </c>
      <c r="Q118" t="str">
        <f t="shared" si="8"/>
        <v>2018-01</v>
      </c>
      <c r="R118">
        <f t="shared" si="9"/>
        <v>1625.8027963821048</v>
      </c>
      <c r="S118">
        <f t="shared" si="10"/>
        <v>5.5760290715166336</v>
      </c>
      <c r="T118" t="str">
        <f t="shared" si="11"/>
        <v>Uttar Pradesh</v>
      </c>
      <c r="U118" t="str">
        <f t="shared" si="12"/>
        <v>Varanasi</v>
      </c>
      <c r="V118" t="str">
        <f t="shared" si="13"/>
        <v>Maize</v>
      </c>
      <c r="W118" t="str">
        <f t="shared" si="14"/>
        <v>Urea</v>
      </c>
      <c r="X118" t="str">
        <f t="shared" si="15"/>
        <v>Food</v>
      </c>
    </row>
    <row r="119" spans="1:24" x14ac:dyDescent="0.25">
      <c r="A119" t="s">
        <v>183</v>
      </c>
      <c r="B119" s="1">
        <v>42127</v>
      </c>
      <c r="C119">
        <v>2015</v>
      </c>
      <c r="D119" t="s">
        <v>17</v>
      </c>
      <c r="E119" t="s">
        <v>72</v>
      </c>
      <c r="F119" t="s">
        <v>19</v>
      </c>
      <c r="G119" t="s">
        <v>64</v>
      </c>
      <c r="H119">
        <v>71.430000000000007</v>
      </c>
      <c r="I119">
        <v>292.54000000000002</v>
      </c>
      <c r="J119">
        <v>4095.46</v>
      </c>
      <c r="K119" t="s">
        <v>21</v>
      </c>
      <c r="L119" t="s">
        <v>41</v>
      </c>
      <c r="M119">
        <v>121.27</v>
      </c>
      <c r="N119">
        <v>963.12</v>
      </c>
      <c r="O119" t="s">
        <v>70</v>
      </c>
      <c r="P119">
        <v>26.74</v>
      </c>
      <c r="Q119" t="str">
        <f t="shared" si="8"/>
        <v>2015-05</v>
      </c>
      <c r="R119">
        <f t="shared" si="9"/>
        <v>1657.3764189312235</v>
      </c>
      <c r="S119">
        <f t="shared" si="10"/>
        <v>13.666829545074821</v>
      </c>
      <c r="T119" t="str">
        <f t="shared" si="11"/>
        <v>Uttar Pradesh</v>
      </c>
      <c r="U119" t="str">
        <f t="shared" si="12"/>
        <v>Kanpur</v>
      </c>
      <c r="V119" t="str">
        <f t="shared" si="13"/>
        <v>Wheat</v>
      </c>
      <c r="W119" t="str">
        <f t="shared" si="14"/>
        <v>Dap</v>
      </c>
      <c r="X119" t="str">
        <f t="shared" si="15"/>
        <v>Food</v>
      </c>
    </row>
    <row r="120" spans="1:24" x14ac:dyDescent="0.25">
      <c r="A120" t="s">
        <v>184</v>
      </c>
      <c r="B120" s="1">
        <v>40715</v>
      </c>
      <c r="C120">
        <v>2011</v>
      </c>
      <c r="D120" t="s">
        <v>44</v>
      </c>
      <c r="E120" t="s">
        <v>99</v>
      </c>
      <c r="F120" t="s">
        <v>33</v>
      </c>
      <c r="G120" t="s">
        <v>46</v>
      </c>
      <c r="H120">
        <v>88.58</v>
      </c>
      <c r="I120">
        <v>583.11</v>
      </c>
      <c r="J120">
        <v>6582.83</v>
      </c>
      <c r="K120" t="s">
        <v>28</v>
      </c>
      <c r="L120" t="s">
        <v>49</v>
      </c>
      <c r="M120">
        <v>63.31</v>
      </c>
      <c r="N120">
        <v>702.01</v>
      </c>
      <c r="O120" t="s">
        <v>42</v>
      </c>
      <c r="P120">
        <v>25.79</v>
      </c>
      <c r="Q120" t="str">
        <f t="shared" si="8"/>
        <v>2011-06</v>
      </c>
      <c r="R120">
        <f t="shared" si="9"/>
        <v>2663.9808988081991</v>
      </c>
      <c r="S120">
        <f t="shared" si="10"/>
        <v>42.078358850232178</v>
      </c>
      <c r="T120" t="str">
        <f t="shared" si="11"/>
        <v>West Bengal</v>
      </c>
      <c r="U120" t="str">
        <f t="shared" si="12"/>
        <v>Howrah</v>
      </c>
      <c r="V120" t="str">
        <f t="shared" si="13"/>
        <v>Sugarcane</v>
      </c>
      <c r="W120" t="str">
        <f t="shared" si="14"/>
        <v>Npk</v>
      </c>
      <c r="X120" t="str">
        <f t="shared" si="15"/>
        <v>Cash</v>
      </c>
    </row>
    <row r="121" spans="1:24" x14ac:dyDescent="0.25">
      <c r="A121" t="s">
        <v>185</v>
      </c>
      <c r="B121" s="1">
        <v>42191</v>
      </c>
      <c r="C121">
        <v>2015</v>
      </c>
      <c r="D121" t="s">
        <v>103</v>
      </c>
      <c r="E121" t="s">
        <v>104</v>
      </c>
      <c r="F121" t="s">
        <v>33</v>
      </c>
      <c r="G121" t="s">
        <v>39</v>
      </c>
      <c r="H121">
        <v>65.349999999999994</v>
      </c>
      <c r="I121">
        <v>375.65</v>
      </c>
      <c r="J121">
        <v>5748.28</v>
      </c>
      <c r="K121" t="s">
        <v>40</v>
      </c>
      <c r="L121" t="s">
        <v>29</v>
      </c>
      <c r="M121">
        <v>59.58</v>
      </c>
      <c r="N121">
        <v>1117.4000000000001</v>
      </c>
      <c r="O121" t="s">
        <v>52</v>
      </c>
      <c r="P121">
        <v>30.44</v>
      </c>
      <c r="Q121" t="str">
        <f t="shared" si="8"/>
        <v>2015-07</v>
      </c>
      <c r="R121">
        <f t="shared" si="9"/>
        <v>2326.2499747071083</v>
      </c>
      <c r="S121">
        <f t="shared" si="10"/>
        <v>39.044141905120988</v>
      </c>
      <c r="T121" t="str">
        <f t="shared" si="11"/>
        <v>Haryana</v>
      </c>
      <c r="U121" t="str">
        <f t="shared" si="12"/>
        <v>Gurgaon</v>
      </c>
      <c r="V121" t="str">
        <f t="shared" si="13"/>
        <v>Cotton</v>
      </c>
      <c r="W121" t="str">
        <f t="shared" si="14"/>
        <v>Compost</v>
      </c>
      <c r="X121" t="str">
        <f t="shared" si="15"/>
        <v>Cash</v>
      </c>
    </row>
    <row r="122" spans="1:24" x14ac:dyDescent="0.25">
      <c r="A122" t="s">
        <v>186</v>
      </c>
      <c r="B122" s="1">
        <v>40391</v>
      </c>
      <c r="C122">
        <v>2010</v>
      </c>
      <c r="D122" t="s">
        <v>36</v>
      </c>
      <c r="E122" t="s">
        <v>77</v>
      </c>
      <c r="F122" t="s">
        <v>33</v>
      </c>
      <c r="G122" t="s">
        <v>64</v>
      </c>
      <c r="H122">
        <v>26.34</v>
      </c>
      <c r="I122">
        <v>158.30000000000001</v>
      </c>
      <c r="J122">
        <v>6009.78</v>
      </c>
      <c r="K122" t="s">
        <v>28</v>
      </c>
      <c r="L122" t="s">
        <v>29</v>
      </c>
      <c r="M122">
        <v>77.8</v>
      </c>
      <c r="N122">
        <v>488.1</v>
      </c>
      <c r="O122" t="s">
        <v>70</v>
      </c>
      <c r="P122">
        <v>21.83</v>
      </c>
      <c r="Q122" t="str">
        <f t="shared" si="8"/>
        <v>2010-08</v>
      </c>
      <c r="R122">
        <f t="shared" si="9"/>
        <v>2432.0754335201636</v>
      </c>
      <c r="S122">
        <f t="shared" si="10"/>
        <v>31.260609685349149</v>
      </c>
      <c r="T122" t="str">
        <f t="shared" si="11"/>
        <v>Karnataka</v>
      </c>
      <c r="U122" t="str">
        <f t="shared" si="12"/>
        <v>Hubli</v>
      </c>
      <c r="V122" t="str">
        <f t="shared" si="13"/>
        <v>Wheat</v>
      </c>
      <c r="W122" t="str">
        <f t="shared" si="14"/>
        <v>Compost</v>
      </c>
      <c r="X122" t="str">
        <f t="shared" si="15"/>
        <v>Food</v>
      </c>
    </row>
    <row r="123" spans="1:24" x14ac:dyDescent="0.25">
      <c r="A123" t="s">
        <v>187</v>
      </c>
      <c r="B123" s="1">
        <v>42887</v>
      </c>
      <c r="C123">
        <v>2017</v>
      </c>
      <c r="D123" t="s">
        <v>17</v>
      </c>
      <c r="E123" t="s">
        <v>54</v>
      </c>
      <c r="F123" t="s">
        <v>33</v>
      </c>
      <c r="G123" t="s">
        <v>64</v>
      </c>
      <c r="H123">
        <v>83.83</v>
      </c>
      <c r="I123">
        <v>335.23</v>
      </c>
      <c r="J123">
        <v>3998.98</v>
      </c>
      <c r="K123" t="s">
        <v>21</v>
      </c>
      <c r="L123" t="s">
        <v>47</v>
      </c>
      <c r="M123">
        <v>207.99</v>
      </c>
      <c r="N123">
        <v>775.05</v>
      </c>
      <c r="O123" t="s">
        <v>42</v>
      </c>
      <c r="P123">
        <v>24.37</v>
      </c>
      <c r="Q123" t="str">
        <f t="shared" si="8"/>
        <v>2017-06</v>
      </c>
      <c r="R123">
        <f t="shared" si="9"/>
        <v>1618.3322878938104</v>
      </c>
      <c r="S123">
        <f t="shared" si="10"/>
        <v>7.7808177695745488</v>
      </c>
      <c r="T123" t="str">
        <f t="shared" si="11"/>
        <v>Uttar Pradesh</v>
      </c>
      <c r="U123" t="str">
        <f t="shared" si="12"/>
        <v>Varanasi</v>
      </c>
      <c r="V123" t="str">
        <f t="shared" si="13"/>
        <v>Wheat</v>
      </c>
      <c r="W123" t="str">
        <f t="shared" si="14"/>
        <v>Vermicompost</v>
      </c>
      <c r="X123" t="str">
        <f t="shared" si="15"/>
        <v>Food</v>
      </c>
    </row>
    <row r="124" spans="1:24" x14ac:dyDescent="0.25">
      <c r="A124" t="s">
        <v>188</v>
      </c>
      <c r="B124" s="1">
        <v>43899</v>
      </c>
      <c r="C124">
        <v>2019</v>
      </c>
      <c r="D124" t="s">
        <v>31</v>
      </c>
      <c r="E124" t="s">
        <v>82</v>
      </c>
      <c r="F124" t="s">
        <v>38</v>
      </c>
      <c r="G124" t="s">
        <v>56</v>
      </c>
      <c r="H124">
        <v>66.77</v>
      </c>
      <c r="I124">
        <v>101.07</v>
      </c>
      <c r="J124">
        <v>1513.68</v>
      </c>
      <c r="K124" t="s">
        <v>34</v>
      </c>
      <c r="L124" t="s">
        <v>47</v>
      </c>
      <c r="M124">
        <v>66.92</v>
      </c>
      <c r="N124">
        <v>726.06</v>
      </c>
      <c r="O124" t="s">
        <v>61</v>
      </c>
      <c r="P124">
        <v>31.8</v>
      </c>
      <c r="Q124" t="str">
        <f t="shared" si="8"/>
        <v>2020-03</v>
      </c>
      <c r="R124">
        <f t="shared" si="9"/>
        <v>612.56550858946605</v>
      </c>
      <c r="S124">
        <f t="shared" si="10"/>
        <v>9.1536985742598027</v>
      </c>
      <c r="T124" t="str">
        <f t="shared" si="11"/>
        <v>Maharashtra</v>
      </c>
      <c r="U124" t="str">
        <f t="shared" si="12"/>
        <v>Nagpur</v>
      </c>
      <c r="V124" t="str">
        <f t="shared" si="13"/>
        <v>Rice</v>
      </c>
      <c r="W124" t="str">
        <f t="shared" si="14"/>
        <v>Vermicompost</v>
      </c>
      <c r="X124" t="str">
        <f t="shared" si="15"/>
        <v>Food</v>
      </c>
    </row>
    <row r="125" spans="1:24" x14ac:dyDescent="0.25">
      <c r="A125" t="s">
        <v>189</v>
      </c>
      <c r="B125" s="1">
        <v>42913</v>
      </c>
      <c r="C125">
        <v>2017</v>
      </c>
      <c r="D125" t="s">
        <v>25</v>
      </c>
      <c r="E125" t="s">
        <v>87</v>
      </c>
      <c r="F125" t="s">
        <v>33</v>
      </c>
      <c r="G125" t="s">
        <v>39</v>
      </c>
      <c r="H125">
        <v>39.299999999999997</v>
      </c>
      <c r="I125">
        <v>127.32</v>
      </c>
      <c r="J125">
        <v>3239.81</v>
      </c>
      <c r="K125" t="s">
        <v>21</v>
      </c>
      <c r="L125" t="s">
        <v>47</v>
      </c>
      <c r="M125">
        <v>139.27000000000001</v>
      </c>
      <c r="N125">
        <v>267.56</v>
      </c>
      <c r="O125" t="s">
        <v>42</v>
      </c>
      <c r="P125">
        <v>30.99</v>
      </c>
      <c r="Q125" t="str">
        <f t="shared" si="8"/>
        <v>2017-06</v>
      </c>
      <c r="R125">
        <f t="shared" si="9"/>
        <v>1311.1066145970337</v>
      </c>
      <c r="S125">
        <f t="shared" si="10"/>
        <v>9.4141352380055547</v>
      </c>
      <c r="T125" t="str">
        <f t="shared" si="11"/>
        <v>Punjab</v>
      </c>
      <c r="U125" t="str">
        <f t="shared" si="12"/>
        <v>Amritsar</v>
      </c>
      <c r="V125" t="str">
        <f t="shared" si="13"/>
        <v>Cotton</v>
      </c>
      <c r="W125" t="str">
        <f t="shared" si="14"/>
        <v>Vermicompost</v>
      </c>
      <c r="X125" t="str">
        <f t="shared" si="15"/>
        <v>Cash</v>
      </c>
    </row>
    <row r="126" spans="1:24" x14ac:dyDescent="0.25">
      <c r="A126" t="s">
        <v>190</v>
      </c>
      <c r="B126" s="1">
        <v>41095</v>
      </c>
      <c r="C126">
        <v>2012</v>
      </c>
      <c r="D126" t="s">
        <v>17</v>
      </c>
      <c r="E126" t="s">
        <v>72</v>
      </c>
      <c r="F126" t="s">
        <v>33</v>
      </c>
      <c r="G126" t="s">
        <v>20</v>
      </c>
      <c r="H126">
        <v>55.06</v>
      </c>
      <c r="I126">
        <v>323.81</v>
      </c>
      <c r="J126">
        <v>5881.05</v>
      </c>
      <c r="K126" t="s">
        <v>40</v>
      </c>
      <c r="L126" t="s">
        <v>22</v>
      </c>
      <c r="M126">
        <v>257.60000000000002</v>
      </c>
      <c r="N126">
        <v>884.68</v>
      </c>
      <c r="O126" t="s">
        <v>52</v>
      </c>
      <c r="P126">
        <v>29.48</v>
      </c>
      <c r="Q126" t="str">
        <f t="shared" si="8"/>
        <v>2012-07</v>
      </c>
      <c r="R126">
        <f t="shared" si="9"/>
        <v>2379.9801703729186</v>
      </c>
      <c r="S126">
        <f t="shared" si="10"/>
        <v>9.2390534564166078</v>
      </c>
      <c r="T126" t="str">
        <f t="shared" si="11"/>
        <v>Uttar Pradesh</v>
      </c>
      <c r="U126" t="str">
        <f t="shared" si="12"/>
        <v>Kanpur</v>
      </c>
      <c r="V126" t="str">
        <f t="shared" si="13"/>
        <v>Maize</v>
      </c>
      <c r="W126" t="str">
        <f t="shared" si="14"/>
        <v>Urea</v>
      </c>
      <c r="X126" t="str">
        <f t="shared" si="15"/>
        <v>Food</v>
      </c>
    </row>
    <row r="127" spans="1:24" x14ac:dyDescent="0.25">
      <c r="A127" t="s">
        <v>191</v>
      </c>
      <c r="B127" s="1">
        <v>40622</v>
      </c>
      <c r="C127">
        <v>2010</v>
      </c>
      <c r="D127" t="s">
        <v>17</v>
      </c>
      <c r="E127" t="s">
        <v>72</v>
      </c>
      <c r="F127" t="s">
        <v>38</v>
      </c>
      <c r="G127" t="s">
        <v>56</v>
      </c>
      <c r="H127">
        <v>5.34</v>
      </c>
      <c r="I127">
        <v>11.73</v>
      </c>
      <c r="J127">
        <v>2196.8200000000002</v>
      </c>
      <c r="K127" t="s">
        <v>21</v>
      </c>
      <c r="L127" t="s">
        <v>29</v>
      </c>
      <c r="M127">
        <v>128.9</v>
      </c>
      <c r="N127">
        <v>510.08</v>
      </c>
      <c r="O127" t="s">
        <v>52</v>
      </c>
      <c r="P127">
        <v>34.840000000000003</v>
      </c>
      <c r="Q127" t="str">
        <f t="shared" si="8"/>
        <v>2011-03</v>
      </c>
      <c r="R127">
        <f t="shared" si="9"/>
        <v>889.02288500839734</v>
      </c>
      <c r="S127">
        <f t="shared" si="10"/>
        <v>6.8969967805151073</v>
      </c>
      <c r="T127" t="str">
        <f t="shared" si="11"/>
        <v>Uttar Pradesh</v>
      </c>
      <c r="U127" t="str">
        <f t="shared" si="12"/>
        <v>Kanpur</v>
      </c>
      <c r="V127" t="str">
        <f t="shared" si="13"/>
        <v>Rice</v>
      </c>
      <c r="W127" t="str">
        <f t="shared" si="14"/>
        <v>Compost</v>
      </c>
      <c r="X127" t="str">
        <f t="shared" si="15"/>
        <v>Food</v>
      </c>
    </row>
    <row r="128" spans="1:24" x14ac:dyDescent="0.25">
      <c r="A128" t="s">
        <v>192</v>
      </c>
      <c r="B128" s="1">
        <v>44679</v>
      </c>
      <c r="C128">
        <v>2022</v>
      </c>
      <c r="D128" t="s">
        <v>31</v>
      </c>
      <c r="E128" t="s">
        <v>82</v>
      </c>
      <c r="F128" t="s">
        <v>19</v>
      </c>
      <c r="G128" t="s">
        <v>56</v>
      </c>
      <c r="H128">
        <v>29.32</v>
      </c>
      <c r="I128">
        <v>180.99</v>
      </c>
      <c r="J128">
        <v>6172.83</v>
      </c>
      <c r="K128" t="s">
        <v>21</v>
      </c>
      <c r="L128" t="s">
        <v>29</v>
      </c>
      <c r="M128">
        <v>266.45</v>
      </c>
      <c r="N128">
        <v>531.91999999999996</v>
      </c>
      <c r="O128" t="s">
        <v>23</v>
      </c>
      <c r="P128">
        <v>31.99</v>
      </c>
      <c r="Q128" t="str">
        <f t="shared" si="8"/>
        <v>2022-04</v>
      </c>
      <c r="R128">
        <f t="shared" si="9"/>
        <v>2498.0595293498714</v>
      </c>
      <c r="S128">
        <f t="shared" si="10"/>
        <v>9.3753406993802653</v>
      </c>
      <c r="T128" t="str">
        <f t="shared" si="11"/>
        <v>Maharashtra</v>
      </c>
      <c r="U128" t="str">
        <f t="shared" si="12"/>
        <v>Nagpur</v>
      </c>
      <c r="V128" t="str">
        <f t="shared" si="13"/>
        <v>Rice</v>
      </c>
      <c r="W128" t="str">
        <f t="shared" si="14"/>
        <v>Compost</v>
      </c>
      <c r="X128" t="str">
        <f t="shared" si="15"/>
        <v>Food</v>
      </c>
    </row>
    <row r="129" spans="1:24" x14ac:dyDescent="0.25">
      <c r="A129" t="s">
        <v>193</v>
      </c>
      <c r="B129" s="1">
        <v>42721</v>
      </c>
      <c r="C129">
        <v>2016</v>
      </c>
      <c r="D129" t="s">
        <v>17</v>
      </c>
      <c r="E129" t="s">
        <v>72</v>
      </c>
      <c r="F129" t="s">
        <v>38</v>
      </c>
      <c r="G129" t="s">
        <v>56</v>
      </c>
      <c r="H129">
        <v>50.12</v>
      </c>
      <c r="I129">
        <v>199.74</v>
      </c>
      <c r="J129">
        <v>3985.14</v>
      </c>
      <c r="K129" t="s">
        <v>34</v>
      </c>
      <c r="L129" t="s">
        <v>47</v>
      </c>
      <c r="M129">
        <v>250.29</v>
      </c>
      <c r="N129">
        <v>927.08</v>
      </c>
      <c r="O129" t="s">
        <v>23</v>
      </c>
      <c r="P129">
        <v>26.46</v>
      </c>
      <c r="Q129" t="str">
        <f t="shared" si="8"/>
        <v>2016-12</v>
      </c>
      <c r="R129">
        <f t="shared" si="9"/>
        <v>1612.7314299589243</v>
      </c>
      <c r="S129">
        <f t="shared" si="10"/>
        <v>6.4434513163087797</v>
      </c>
      <c r="T129" t="str">
        <f t="shared" si="11"/>
        <v>Uttar Pradesh</v>
      </c>
      <c r="U129" t="str">
        <f t="shared" si="12"/>
        <v>Kanpur</v>
      </c>
      <c r="V129" t="str">
        <f t="shared" si="13"/>
        <v>Rice</v>
      </c>
      <c r="W129" t="str">
        <f t="shared" si="14"/>
        <v>Vermicompost</v>
      </c>
      <c r="X129" t="str">
        <f t="shared" si="15"/>
        <v>Food</v>
      </c>
    </row>
    <row r="130" spans="1:24" x14ac:dyDescent="0.25">
      <c r="A130" t="s">
        <v>194</v>
      </c>
      <c r="B130" s="1">
        <v>40785</v>
      </c>
      <c r="C130">
        <v>2011</v>
      </c>
      <c r="D130" t="s">
        <v>31</v>
      </c>
      <c r="E130" t="s">
        <v>32</v>
      </c>
      <c r="F130" t="s">
        <v>33</v>
      </c>
      <c r="G130" t="s">
        <v>20</v>
      </c>
      <c r="H130">
        <v>66.430000000000007</v>
      </c>
      <c r="I130">
        <v>188.59</v>
      </c>
      <c r="J130">
        <v>2838.98</v>
      </c>
      <c r="K130" t="s">
        <v>28</v>
      </c>
      <c r="L130" t="s">
        <v>47</v>
      </c>
      <c r="M130">
        <v>91.66</v>
      </c>
      <c r="N130">
        <v>643.91</v>
      </c>
      <c r="O130" t="s">
        <v>52</v>
      </c>
      <c r="P130">
        <v>20.64</v>
      </c>
      <c r="Q130" t="str">
        <f t="shared" ref="Q130:Q193" si="16">TEXT(B130,"yyyy-mm")</f>
        <v>2011-08</v>
      </c>
      <c r="R130">
        <f t="shared" ref="R130:R193" si="17">J130/2.47105</f>
        <v>1148.8962182068351</v>
      </c>
      <c r="S130">
        <f t="shared" ref="S130:S193" si="18">R130/M130</f>
        <v>12.534324876792878</v>
      </c>
      <c r="T130" t="str">
        <f t="shared" ref="T130:T193" si="19">PROPER(TRIM(D130))</f>
        <v>Maharashtra</v>
      </c>
      <c r="U130" t="str">
        <f t="shared" ref="U130:U193" si="20">PROPER(TRIM(E130))</f>
        <v>Pune</v>
      </c>
      <c r="V130" t="str">
        <f t="shared" ref="V130:V193" si="21">PROPER(TRIM(G130))</f>
        <v>Maize</v>
      </c>
      <c r="W130" t="str">
        <f t="shared" ref="W130:W193" si="22">PROPER(TRIM(L130))</f>
        <v>Vermicompost</v>
      </c>
      <c r="X130" t="str">
        <f t="shared" ref="X130:X193" si="23">IF(OR(V130="Wheat",V130="Rice",V130="Maize",V130="Pulses"),"Food","Cash")</f>
        <v>Food</v>
      </c>
    </row>
    <row r="131" spans="1:24" x14ac:dyDescent="0.25">
      <c r="A131" t="s">
        <v>195</v>
      </c>
      <c r="B131" s="1">
        <v>44095</v>
      </c>
      <c r="C131">
        <v>2020</v>
      </c>
      <c r="D131" t="s">
        <v>36</v>
      </c>
      <c r="E131" t="s">
        <v>51</v>
      </c>
      <c r="F131" t="s">
        <v>33</v>
      </c>
      <c r="G131" t="s">
        <v>64</v>
      </c>
      <c r="H131">
        <v>67.45</v>
      </c>
      <c r="I131">
        <v>231.84</v>
      </c>
      <c r="J131">
        <v>3437.26</v>
      </c>
      <c r="K131" t="s">
        <v>40</v>
      </c>
      <c r="L131" t="s">
        <v>22</v>
      </c>
      <c r="M131">
        <v>288.2</v>
      </c>
      <c r="N131">
        <v>342.78</v>
      </c>
      <c r="O131" t="s">
        <v>61</v>
      </c>
      <c r="P131">
        <v>30.17</v>
      </c>
      <c r="Q131" t="str">
        <f t="shared" si="16"/>
        <v>2020-09</v>
      </c>
      <c r="R131">
        <f t="shared" si="17"/>
        <v>1391.0119180105623</v>
      </c>
      <c r="S131">
        <f t="shared" si="18"/>
        <v>4.8265507217576769</v>
      </c>
      <c r="T131" t="str">
        <f t="shared" si="19"/>
        <v>Karnataka</v>
      </c>
      <c r="U131" t="str">
        <f t="shared" si="20"/>
        <v>Mysore</v>
      </c>
      <c r="V131" t="str">
        <f t="shared" si="21"/>
        <v>Wheat</v>
      </c>
      <c r="W131" t="str">
        <f t="shared" si="22"/>
        <v>Urea</v>
      </c>
      <c r="X131" t="str">
        <f t="shared" si="23"/>
        <v>Food</v>
      </c>
    </row>
    <row r="132" spans="1:24" x14ac:dyDescent="0.25">
      <c r="A132" t="s">
        <v>196</v>
      </c>
      <c r="B132" s="1">
        <v>41413</v>
      </c>
      <c r="C132">
        <v>2013</v>
      </c>
      <c r="D132" t="s">
        <v>103</v>
      </c>
      <c r="E132" t="s">
        <v>104</v>
      </c>
      <c r="F132" t="s">
        <v>19</v>
      </c>
      <c r="G132" t="s">
        <v>20</v>
      </c>
      <c r="H132">
        <v>36.85</v>
      </c>
      <c r="I132">
        <v>246.78</v>
      </c>
      <c r="J132">
        <v>6696.8</v>
      </c>
      <c r="K132" t="s">
        <v>21</v>
      </c>
      <c r="L132" t="s">
        <v>22</v>
      </c>
      <c r="M132">
        <v>201.27</v>
      </c>
      <c r="N132">
        <v>879.06</v>
      </c>
      <c r="O132" t="s">
        <v>70</v>
      </c>
      <c r="P132">
        <v>25.58</v>
      </c>
      <c r="Q132" t="str">
        <f t="shared" si="16"/>
        <v>2013-05</v>
      </c>
      <c r="R132">
        <f t="shared" si="17"/>
        <v>2710.1029926549445</v>
      </c>
      <c r="S132">
        <f t="shared" si="18"/>
        <v>13.46501213620979</v>
      </c>
      <c r="T132" t="str">
        <f t="shared" si="19"/>
        <v>Haryana</v>
      </c>
      <c r="U132" t="str">
        <f t="shared" si="20"/>
        <v>Gurgaon</v>
      </c>
      <c r="V132" t="str">
        <f t="shared" si="21"/>
        <v>Maize</v>
      </c>
      <c r="W132" t="str">
        <f t="shared" si="22"/>
        <v>Urea</v>
      </c>
      <c r="X132" t="str">
        <f t="shared" si="23"/>
        <v>Food</v>
      </c>
    </row>
    <row r="133" spans="1:24" x14ac:dyDescent="0.25">
      <c r="A133" t="s">
        <v>197</v>
      </c>
      <c r="B133" s="1">
        <v>43548</v>
      </c>
      <c r="C133">
        <v>2018</v>
      </c>
      <c r="D133" t="s">
        <v>59</v>
      </c>
      <c r="E133" t="s">
        <v>60</v>
      </c>
      <c r="F133" t="s">
        <v>38</v>
      </c>
      <c r="G133" t="s">
        <v>46</v>
      </c>
      <c r="H133">
        <v>32.119999999999997</v>
      </c>
      <c r="I133">
        <v>85.83</v>
      </c>
      <c r="J133">
        <v>2672.14</v>
      </c>
      <c r="K133" t="s">
        <v>21</v>
      </c>
      <c r="L133" t="s">
        <v>22</v>
      </c>
      <c r="M133">
        <v>56.48</v>
      </c>
      <c r="N133">
        <v>386.05</v>
      </c>
      <c r="O133" t="s">
        <v>61</v>
      </c>
      <c r="P133">
        <v>25.8</v>
      </c>
      <c r="Q133" t="str">
        <f t="shared" si="16"/>
        <v>2019-03</v>
      </c>
      <c r="R133">
        <f t="shared" si="17"/>
        <v>1081.378361425305</v>
      </c>
      <c r="S133">
        <f t="shared" si="18"/>
        <v>19.146217447331889</v>
      </c>
      <c r="T133" t="str">
        <f t="shared" si="19"/>
        <v>Bihar</v>
      </c>
      <c r="U133" t="str">
        <f t="shared" si="20"/>
        <v>Patna</v>
      </c>
      <c r="V133" t="str">
        <f t="shared" si="21"/>
        <v>Sugarcane</v>
      </c>
      <c r="W133" t="str">
        <f t="shared" si="22"/>
        <v>Urea</v>
      </c>
      <c r="X133" t="str">
        <f t="shared" si="23"/>
        <v>Cash</v>
      </c>
    </row>
    <row r="134" spans="1:24" x14ac:dyDescent="0.25">
      <c r="A134" t="s">
        <v>198</v>
      </c>
      <c r="B134" s="1">
        <v>44614</v>
      </c>
      <c r="C134">
        <v>2021</v>
      </c>
      <c r="D134" t="s">
        <v>31</v>
      </c>
      <c r="E134" t="s">
        <v>32</v>
      </c>
      <c r="F134" t="s">
        <v>38</v>
      </c>
      <c r="G134" t="s">
        <v>56</v>
      </c>
      <c r="H134">
        <v>99.64</v>
      </c>
      <c r="I134">
        <v>270.37</v>
      </c>
      <c r="J134">
        <v>2713.46</v>
      </c>
      <c r="K134" t="s">
        <v>28</v>
      </c>
      <c r="L134" t="s">
        <v>22</v>
      </c>
      <c r="M134">
        <v>100.04</v>
      </c>
      <c r="N134">
        <v>335.73</v>
      </c>
      <c r="O134" t="s">
        <v>23</v>
      </c>
      <c r="P134">
        <v>26.78</v>
      </c>
      <c r="Q134" t="str">
        <f t="shared" si="16"/>
        <v>2022-02</v>
      </c>
      <c r="R134">
        <f t="shared" si="17"/>
        <v>1098.0999979765686</v>
      </c>
      <c r="S134">
        <f t="shared" si="18"/>
        <v>10.976609336031272</v>
      </c>
      <c r="T134" t="str">
        <f t="shared" si="19"/>
        <v>Maharashtra</v>
      </c>
      <c r="U134" t="str">
        <f t="shared" si="20"/>
        <v>Pune</v>
      </c>
      <c r="V134" t="str">
        <f t="shared" si="21"/>
        <v>Rice</v>
      </c>
      <c r="W134" t="str">
        <f t="shared" si="22"/>
        <v>Urea</v>
      </c>
      <c r="X134" t="str">
        <f t="shared" si="23"/>
        <v>Food</v>
      </c>
    </row>
    <row r="135" spans="1:24" x14ac:dyDescent="0.25">
      <c r="A135" t="s">
        <v>199</v>
      </c>
      <c r="B135" s="1">
        <v>42127</v>
      </c>
      <c r="C135">
        <v>2015</v>
      </c>
      <c r="D135" t="s">
        <v>44</v>
      </c>
      <c r="E135" t="s">
        <v>67</v>
      </c>
      <c r="F135" t="s">
        <v>19</v>
      </c>
      <c r="G135" t="s">
        <v>20</v>
      </c>
      <c r="H135">
        <v>71.239999999999995</v>
      </c>
      <c r="I135">
        <v>306.33</v>
      </c>
      <c r="J135">
        <v>4299.9799999999996</v>
      </c>
      <c r="K135" t="s">
        <v>34</v>
      </c>
      <c r="L135" t="s">
        <v>41</v>
      </c>
      <c r="M135">
        <v>272.83</v>
      </c>
      <c r="N135">
        <v>1051.3599999999999</v>
      </c>
      <c r="O135" t="s">
        <v>42</v>
      </c>
      <c r="P135">
        <v>31.91</v>
      </c>
      <c r="Q135" t="str">
        <f t="shared" si="16"/>
        <v>2015-05</v>
      </c>
      <c r="R135">
        <f t="shared" si="17"/>
        <v>1740.1428542522408</v>
      </c>
      <c r="S135">
        <f t="shared" si="18"/>
        <v>6.3781213732076418</v>
      </c>
      <c r="T135" t="str">
        <f t="shared" si="19"/>
        <v>West Bengal</v>
      </c>
      <c r="U135" t="str">
        <f t="shared" si="20"/>
        <v>Darjeeling</v>
      </c>
      <c r="V135" t="str">
        <f t="shared" si="21"/>
        <v>Maize</v>
      </c>
      <c r="W135" t="str">
        <f t="shared" si="22"/>
        <v>Dap</v>
      </c>
      <c r="X135" t="str">
        <f t="shared" si="23"/>
        <v>Food</v>
      </c>
    </row>
    <row r="136" spans="1:24" x14ac:dyDescent="0.25">
      <c r="A136" t="s">
        <v>200</v>
      </c>
      <c r="B136" s="1">
        <v>44735</v>
      </c>
      <c r="C136">
        <v>2022</v>
      </c>
      <c r="D136" t="s">
        <v>25</v>
      </c>
      <c r="E136" t="s">
        <v>26</v>
      </c>
      <c r="F136" t="s">
        <v>33</v>
      </c>
      <c r="G136" t="s">
        <v>56</v>
      </c>
      <c r="H136">
        <v>79.25</v>
      </c>
      <c r="I136">
        <v>91.75</v>
      </c>
      <c r="J136">
        <v>1157.7</v>
      </c>
      <c r="K136" t="s">
        <v>34</v>
      </c>
      <c r="L136" t="s">
        <v>22</v>
      </c>
      <c r="M136">
        <v>166.85</v>
      </c>
      <c r="N136">
        <v>1183.01</v>
      </c>
      <c r="O136" t="s">
        <v>42</v>
      </c>
      <c r="P136">
        <v>29.18</v>
      </c>
      <c r="Q136" t="str">
        <f t="shared" si="16"/>
        <v>2022-06</v>
      </c>
      <c r="R136">
        <f t="shared" si="17"/>
        <v>468.50529127294067</v>
      </c>
      <c r="S136">
        <f t="shared" si="18"/>
        <v>2.807943010326285</v>
      </c>
      <c r="T136" t="str">
        <f t="shared" si="19"/>
        <v>Punjab</v>
      </c>
      <c r="U136" t="str">
        <f t="shared" si="20"/>
        <v>Ludhiana</v>
      </c>
      <c r="V136" t="str">
        <f t="shared" si="21"/>
        <v>Rice</v>
      </c>
      <c r="W136" t="str">
        <f t="shared" si="22"/>
        <v>Urea</v>
      </c>
      <c r="X136" t="str">
        <f t="shared" si="23"/>
        <v>Food</v>
      </c>
    </row>
    <row r="137" spans="1:24" x14ac:dyDescent="0.25">
      <c r="A137" t="s">
        <v>201</v>
      </c>
      <c r="B137" s="1">
        <v>44330</v>
      </c>
      <c r="C137">
        <v>2021</v>
      </c>
      <c r="D137" t="s">
        <v>31</v>
      </c>
      <c r="E137" t="s">
        <v>32</v>
      </c>
      <c r="F137" t="s">
        <v>19</v>
      </c>
      <c r="G137" t="s">
        <v>46</v>
      </c>
      <c r="H137">
        <v>53.04</v>
      </c>
      <c r="I137">
        <v>297.82</v>
      </c>
      <c r="J137">
        <v>5614.99</v>
      </c>
      <c r="K137" t="s">
        <v>21</v>
      </c>
      <c r="L137" t="s">
        <v>47</v>
      </c>
      <c r="M137">
        <v>81.33</v>
      </c>
      <c r="N137">
        <v>517.03</v>
      </c>
      <c r="O137" t="s">
        <v>23</v>
      </c>
      <c r="P137">
        <v>26.75</v>
      </c>
      <c r="Q137" t="str">
        <f t="shared" si="16"/>
        <v>2021-05</v>
      </c>
      <c r="R137">
        <f t="shared" si="17"/>
        <v>2272.3093421824728</v>
      </c>
      <c r="S137">
        <f t="shared" si="18"/>
        <v>27.93937467333669</v>
      </c>
      <c r="T137" t="str">
        <f t="shared" si="19"/>
        <v>Maharashtra</v>
      </c>
      <c r="U137" t="str">
        <f t="shared" si="20"/>
        <v>Pune</v>
      </c>
      <c r="V137" t="str">
        <f t="shared" si="21"/>
        <v>Sugarcane</v>
      </c>
      <c r="W137" t="str">
        <f t="shared" si="22"/>
        <v>Vermicompost</v>
      </c>
      <c r="X137" t="str">
        <f t="shared" si="23"/>
        <v>Cash</v>
      </c>
    </row>
    <row r="138" spans="1:24" x14ac:dyDescent="0.25">
      <c r="A138" t="s">
        <v>202</v>
      </c>
      <c r="B138" s="1">
        <v>44685</v>
      </c>
      <c r="C138">
        <v>2022</v>
      </c>
      <c r="D138" t="s">
        <v>31</v>
      </c>
      <c r="E138" t="s">
        <v>82</v>
      </c>
      <c r="F138" t="s">
        <v>19</v>
      </c>
      <c r="G138" t="s">
        <v>39</v>
      </c>
      <c r="H138">
        <v>59.19</v>
      </c>
      <c r="I138">
        <v>331.86</v>
      </c>
      <c r="J138">
        <v>5606.69</v>
      </c>
      <c r="K138" t="s">
        <v>40</v>
      </c>
      <c r="L138" t="s">
        <v>41</v>
      </c>
      <c r="M138">
        <v>158.15</v>
      </c>
      <c r="N138">
        <v>1110.71</v>
      </c>
      <c r="O138" t="s">
        <v>23</v>
      </c>
      <c r="P138">
        <v>32.47</v>
      </c>
      <c r="Q138" t="str">
        <f t="shared" si="16"/>
        <v>2022-05</v>
      </c>
      <c r="R138">
        <f t="shared" si="17"/>
        <v>2268.9504461666093</v>
      </c>
      <c r="S138">
        <f t="shared" si="18"/>
        <v>14.346825457898255</v>
      </c>
      <c r="T138" t="str">
        <f t="shared" si="19"/>
        <v>Maharashtra</v>
      </c>
      <c r="U138" t="str">
        <f t="shared" si="20"/>
        <v>Nagpur</v>
      </c>
      <c r="V138" t="str">
        <f t="shared" si="21"/>
        <v>Cotton</v>
      </c>
      <c r="W138" t="str">
        <f t="shared" si="22"/>
        <v>Dap</v>
      </c>
      <c r="X138" t="str">
        <f t="shared" si="23"/>
        <v>Cash</v>
      </c>
    </row>
    <row r="139" spans="1:24" x14ac:dyDescent="0.25">
      <c r="A139" t="s">
        <v>203</v>
      </c>
      <c r="B139" s="1">
        <v>41291</v>
      </c>
      <c r="C139">
        <v>2012</v>
      </c>
      <c r="D139" t="s">
        <v>31</v>
      </c>
      <c r="E139" t="s">
        <v>82</v>
      </c>
      <c r="F139" t="s">
        <v>38</v>
      </c>
      <c r="G139" t="s">
        <v>39</v>
      </c>
      <c r="H139">
        <v>23.32</v>
      </c>
      <c r="I139">
        <v>155.88999999999999</v>
      </c>
      <c r="J139">
        <v>6684.9</v>
      </c>
      <c r="K139" t="s">
        <v>34</v>
      </c>
      <c r="L139" t="s">
        <v>47</v>
      </c>
      <c r="M139">
        <v>261.48</v>
      </c>
      <c r="N139">
        <v>450.61</v>
      </c>
      <c r="O139" t="s">
        <v>61</v>
      </c>
      <c r="P139">
        <v>24.12</v>
      </c>
      <c r="Q139" t="str">
        <f t="shared" si="16"/>
        <v>2013-01</v>
      </c>
      <c r="R139">
        <f t="shared" si="17"/>
        <v>2705.2872260779827</v>
      </c>
      <c r="S139">
        <f t="shared" si="18"/>
        <v>10.346057924422452</v>
      </c>
      <c r="T139" t="str">
        <f t="shared" si="19"/>
        <v>Maharashtra</v>
      </c>
      <c r="U139" t="str">
        <f t="shared" si="20"/>
        <v>Nagpur</v>
      </c>
      <c r="V139" t="str">
        <f t="shared" si="21"/>
        <v>Cotton</v>
      </c>
      <c r="W139" t="str">
        <f t="shared" si="22"/>
        <v>Vermicompost</v>
      </c>
      <c r="X139" t="str">
        <f t="shared" si="23"/>
        <v>Cash</v>
      </c>
    </row>
    <row r="140" spans="1:24" x14ac:dyDescent="0.25">
      <c r="A140" t="s">
        <v>204</v>
      </c>
      <c r="B140" s="1">
        <v>43250</v>
      </c>
      <c r="C140">
        <v>2018</v>
      </c>
      <c r="D140" t="s">
        <v>59</v>
      </c>
      <c r="E140" t="s">
        <v>60</v>
      </c>
      <c r="F140" t="s">
        <v>19</v>
      </c>
      <c r="G140" t="s">
        <v>56</v>
      </c>
      <c r="H140">
        <v>59.59</v>
      </c>
      <c r="I140">
        <v>267.19</v>
      </c>
      <c r="J140">
        <v>4483.88</v>
      </c>
      <c r="K140" t="s">
        <v>40</v>
      </c>
      <c r="L140" t="s">
        <v>47</v>
      </c>
      <c r="M140">
        <v>214.68</v>
      </c>
      <c r="N140">
        <v>920.63</v>
      </c>
      <c r="O140" t="s">
        <v>61</v>
      </c>
      <c r="P140">
        <v>25.06</v>
      </c>
      <c r="Q140" t="str">
        <f t="shared" si="16"/>
        <v>2018-05</v>
      </c>
      <c r="R140">
        <f t="shared" si="17"/>
        <v>1814.5646587483054</v>
      </c>
      <c r="S140">
        <f t="shared" si="18"/>
        <v>8.4524159621217869</v>
      </c>
      <c r="T140" t="str">
        <f t="shared" si="19"/>
        <v>Bihar</v>
      </c>
      <c r="U140" t="str">
        <f t="shared" si="20"/>
        <v>Patna</v>
      </c>
      <c r="V140" t="str">
        <f t="shared" si="21"/>
        <v>Rice</v>
      </c>
      <c r="W140" t="str">
        <f t="shared" si="22"/>
        <v>Vermicompost</v>
      </c>
      <c r="X140" t="str">
        <f t="shared" si="23"/>
        <v>Food</v>
      </c>
    </row>
    <row r="141" spans="1:24" x14ac:dyDescent="0.25">
      <c r="A141" t="s">
        <v>205</v>
      </c>
      <c r="B141" s="1">
        <v>40834</v>
      </c>
      <c r="C141">
        <v>2011</v>
      </c>
      <c r="D141" t="s">
        <v>25</v>
      </c>
      <c r="E141" t="s">
        <v>26</v>
      </c>
      <c r="F141" t="s">
        <v>33</v>
      </c>
      <c r="G141" t="s">
        <v>39</v>
      </c>
      <c r="H141">
        <v>77.33</v>
      </c>
      <c r="I141">
        <v>200.13</v>
      </c>
      <c r="J141">
        <v>2587.94</v>
      </c>
      <c r="K141" t="s">
        <v>40</v>
      </c>
      <c r="L141" t="s">
        <v>49</v>
      </c>
      <c r="M141">
        <v>241.74</v>
      </c>
      <c r="N141">
        <v>616.59</v>
      </c>
      <c r="O141" t="s">
        <v>23</v>
      </c>
      <c r="P141">
        <v>27.47</v>
      </c>
      <c r="Q141" t="str">
        <f t="shared" si="16"/>
        <v>2011-10</v>
      </c>
      <c r="R141">
        <f t="shared" si="17"/>
        <v>1047.3037777463021</v>
      </c>
      <c r="S141">
        <f t="shared" si="18"/>
        <v>4.3323561584607511</v>
      </c>
      <c r="T141" t="str">
        <f t="shared" si="19"/>
        <v>Punjab</v>
      </c>
      <c r="U141" t="str">
        <f t="shared" si="20"/>
        <v>Ludhiana</v>
      </c>
      <c r="V141" t="str">
        <f t="shared" si="21"/>
        <v>Cotton</v>
      </c>
      <c r="W141" t="str">
        <f t="shared" si="22"/>
        <v>Npk</v>
      </c>
      <c r="X141" t="str">
        <f t="shared" si="23"/>
        <v>Cash</v>
      </c>
    </row>
    <row r="142" spans="1:24" x14ac:dyDescent="0.25">
      <c r="A142" t="s">
        <v>206</v>
      </c>
      <c r="B142" s="1">
        <v>42923</v>
      </c>
      <c r="C142">
        <v>2017</v>
      </c>
      <c r="D142" t="s">
        <v>17</v>
      </c>
      <c r="E142" t="s">
        <v>72</v>
      </c>
      <c r="F142" t="s">
        <v>33</v>
      </c>
      <c r="G142" t="s">
        <v>39</v>
      </c>
      <c r="H142">
        <v>41.2</v>
      </c>
      <c r="I142">
        <v>153.32</v>
      </c>
      <c r="J142">
        <v>3721.26</v>
      </c>
      <c r="K142" t="s">
        <v>21</v>
      </c>
      <c r="L142" t="s">
        <v>49</v>
      </c>
      <c r="M142">
        <v>89.52</v>
      </c>
      <c r="N142">
        <v>615.62</v>
      </c>
      <c r="O142" t="s">
        <v>52</v>
      </c>
      <c r="P142">
        <v>23.06</v>
      </c>
      <c r="Q142" t="str">
        <f t="shared" si="16"/>
        <v>2017-07</v>
      </c>
      <c r="R142">
        <f t="shared" si="17"/>
        <v>1505.942817830477</v>
      </c>
      <c r="S142">
        <f t="shared" si="18"/>
        <v>16.82241753608665</v>
      </c>
      <c r="T142" t="str">
        <f t="shared" si="19"/>
        <v>Uttar Pradesh</v>
      </c>
      <c r="U142" t="str">
        <f t="shared" si="20"/>
        <v>Kanpur</v>
      </c>
      <c r="V142" t="str">
        <f t="shared" si="21"/>
        <v>Cotton</v>
      </c>
      <c r="W142" t="str">
        <f t="shared" si="22"/>
        <v>Npk</v>
      </c>
      <c r="X142" t="str">
        <f t="shared" si="23"/>
        <v>Cash</v>
      </c>
    </row>
    <row r="143" spans="1:24" x14ac:dyDescent="0.25">
      <c r="A143" t="s">
        <v>207</v>
      </c>
      <c r="B143" s="1">
        <v>42112</v>
      </c>
      <c r="C143">
        <v>2015</v>
      </c>
      <c r="D143" t="s">
        <v>44</v>
      </c>
      <c r="E143" t="s">
        <v>67</v>
      </c>
      <c r="F143" t="s">
        <v>19</v>
      </c>
      <c r="G143" t="s">
        <v>20</v>
      </c>
      <c r="H143">
        <v>97.56</v>
      </c>
      <c r="I143">
        <v>174.11</v>
      </c>
      <c r="J143">
        <v>1784.6</v>
      </c>
      <c r="K143" t="s">
        <v>34</v>
      </c>
      <c r="L143" t="s">
        <v>29</v>
      </c>
      <c r="M143">
        <v>178.75</v>
      </c>
      <c r="N143">
        <v>306.18</v>
      </c>
      <c r="O143" t="s">
        <v>42</v>
      </c>
      <c r="P143">
        <v>27</v>
      </c>
      <c r="Q143" t="str">
        <f t="shared" si="16"/>
        <v>2015-04</v>
      </c>
      <c r="R143">
        <f t="shared" si="17"/>
        <v>722.203112037393</v>
      </c>
      <c r="S143">
        <f t="shared" si="18"/>
        <v>4.0402971302791215</v>
      </c>
      <c r="T143" t="str">
        <f t="shared" si="19"/>
        <v>West Bengal</v>
      </c>
      <c r="U143" t="str">
        <f t="shared" si="20"/>
        <v>Darjeeling</v>
      </c>
      <c r="V143" t="str">
        <f t="shared" si="21"/>
        <v>Maize</v>
      </c>
      <c r="W143" t="str">
        <f t="shared" si="22"/>
        <v>Compost</v>
      </c>
      <c r="X143" t="str">
        <f t="shared" si="23"/>
        <v>Food</v>
      </c>
    </row>
    <row r="144" spans="1:24" x14ac:dyDescent="0.25">
      <c r="A144" t="s">
        <v>208</v>
      </c>
      <c r="B144" s="1">
        <v>40842</v>
      </c>
      <c r="C144">
        <v>2011</v>
      </c>
      <c r="D144" t="s">
        <v>103</v>
      </c>
      <c r="E144" t="s">
        <v>104</v>
      </c>
      <c r="F144" t="s">
        <v>33</v>
      </c>
      <c r="G144" t="s">
        <v>20</v>
      </c>
      <c r="H144">
        <v>94.59</v>
      </c>
      <c r="I144">
        <v>585.04</v>
      </c>
      <c r="J144">
        <v>6184.98</v>
      </c>
      <c r="K144" t="s">
        <v>28</v>
      </c>
      <c r="L144" t="s">
        <v>49</v>
      </c>
      <c r="M144">
        <v>112.07</v>
      </c>
      <c r="N144">
        <v>1065.31</v>
      </c>
      <c r="O144" t="s">
        <v>42</v>
      </c>
      <c r="P144">
        <v>32.200000000000003</v>
      </c>
      <c r="Q144" t="str">
        <f t="shared" si="16"/>
        <v>2011-10</v>
      </c>
      <c r="R144">
        <f t="shared" si="17"/>
        <v>2502.9764674935755</v>
      </c>
      <c r="S144">
        <f t="shared" si="18"/>
        <v>22.334045395677485</v>
      </c>
      <c r="T144" t="str">
        <f t="shared" si="19"/>
        <v>Haryana</v>
      </c>
      <c r="U144" t="str">
        <f t="shared" si="20"/>
        <v>Gurgaon</v>
      </c>
      <c r="V144" t="str">
        <f t="shared" si="21"/>
        <v>Maize</v>
      </c>
      <c r="W144" t="str">
        <f t="shared" si="22"/>
        <v>Npk</v>
      </c>
      <c r="X144" t="str">
        <f t="shared" si="23"/>
        <v>Food</v>
      </c>
    </row>
    <row r="145" spans="1:24" x14ac:dyDescent="0.25">
      <c r="A145" t="s">
        <v>209</v>
      </c>
      <c r="B145" s="1">
        <v>42839</v>
      </c>
      <c r="C145">
        <v>2017</v>
      </c>
      <c r="D145" t="s">
        <v>103</v>
      </c>
      <c r="E145" t="s">
        <v>104</v>
      </c>
      <c r="F145" t="s">
        <v>19</v>
      </c>
      <c r="G145" t="s">
        <v>46</v>
      </c>
      <c r="H145">
        <v>50.38</v>
      </c>
      <c r="I145">
        <v>143.65</v>
      </c>
      <c r="J145">
        <v>2851.24</v>
      </c>
      <c r="K145" t="s">
        <v>21</v>
      </c>
      <c r="L145" t="s">
        <v>47</v>
      </c>
      <c r="M145">
        <v>72.510000000000005</v>
      </c>
      <c r="N145">
        <v>593.24</v>
      </c>
      <c r="O145" t="s">
        <v>52</v>
      </c>
      <c r="P145">
        <v>34.5</v>
      </c>
      <c r="Q145" t="str">
        <f t="shared" si="16"/>
        <v>2017-04</v>
      </c>
      <c r="R145">
        <f t="shared" si="17"/>
        <v>1153.8576718399061</v>
      </c>
      <c r="S145">
        <f t="shared" si="18"/>
        <v>15.913083324229843</v>
      </c>
      <c r="T145" t="str">
        <f t="shared" si="19"/>
        <v>Haryana</v>
      </c>
      <c r="U145" t="str">
        <f t="shared" si="20"/>
        <v>Gurgaon</v>
      </c>
      <c r="V145" t="str">
        <f t="shared" si="21"/>
        <v>Sugarcane</v>
      </c>
      <c r="W145" t="str">
        <f t="shared" si="22"/>
        <v>Vermicompost</v>
      </c>
      <c r="X145" t="str">
        <f t="shared" si="23"/>
        <v>Cash</v>
      </c>
    </row>
    <row r="146" spans="1:24" x14ac:dyDescent="0.25">
      <c r="A146" t="s">
        <v>210</v>
      </c>
      <c r="B146" s="1">
        <v>40550</v>
      </c>
      <c r="C146">
        <v>2010</v>
      </c>
      <c r="D146" t="s">
        <v>31</v>
      </c>
      <c r="E146" t="s">
        <v>82</v>
      </c>
      <c r="F146" t="s">
        <v>38</v>
      </c>
      <c r="G146" t="s">
        <v>46</v>
      </c>
      <c r="H146">
        <v>60.15</v>
      </c>
      <c r="I146">
        <v>364.33</v>
      </c>
      <c r="J146">
        <v>6057.1</v>
      </c>
      <c r="K146" t="s">
        <v>28</v>
      </c>
      <c r="L146" t="s">
        <v>49</v>
      </c>
      <c r="M146">
        <v>121.44</v>
      </c>
      <c r="N146">
        <v>208.18</v>
      </c>
      <c r="O146" t="s">
        <v>23</v>
      </c>
      <c r="P146">
        <v>26.46</v>
      </c>
      <c r="Q146" t="str">
        <f t="shared" si="16"/>
        <v>2011-01</v>
      </c>
      <c r="R146">
        <f t="shared" si="17"/>
        <v>2451.2251876732566</v>
      </c>
      <c r="S146">
        <f t="shared" si="18"/>
        <v>20.184660636308109</v>
      </c>
      <c r="T146" t="str">
        <f t="shared" si="19"/>
        <v>Maharashtra</v>
      </c>
      <c r="U146" t="str">
        <f t="shared" si="20"/>
        <v>Nagpur</v>
      </c>
      <c r="V146" t="str">
        <f t="shared" si="21"/>
        <v>Sugarcane</v>
      </c>
      <c r="W146" t="str">
        <f t="shared" si="22"/>
        <v>Npk</v>
      </c>
      <c r="X146" t="str">
        <f t="shared" si="23"/>
        <v>Cash</v>
      </c>
    </row>
    <row r="147" spans="1:24" x14ac:dyDescent="0.25">
      <c r="A147" t="s">
        <v>211</v>
      </c>
      <c r="B147" s="1">
        <v>42296</v>
      </c>
      <c r="C147">
        <v>2015</v>
      </c>
      <c r="D147" t="s">
        <v>44</v>
      </c>
      <c r="E147" t="s">
        <v>99</v>
      </c>
      <c r="F147" t="s">
        <v>33</v>
      </c>
      <c r="G147" t="s">
        <v>46</v>
      </c>
      <c r="H147">
        <v>6.06</v>
      </c>
      <c r="I147">
        <v>26.49</v>
      </c>
      <c r="J147">
        <v>4370.8999999999996</v>
      </c>
      <c r="K147" t="s">
        <v>34</v>
      </c>
      <c r="L147" t="s">
        <v>49</v>
      </c>
      <c r="M147">
        <v>188.31</v>
      </c>
      <c r="N147">
        <v>273.52999999999997</v>
      </c>
      <c r="O147" t="s">
        <v>61</v>
      </c>
      <c r="P147">
        <v>26.76</v>
      </c>
      <c r="Q147" t="str">
        <f t="shared" si="16"/>
        <v>2015-10</v>
      </c>
      <c r="R147">
        <f t="shared" si="17"/>
        <v>1768.8432043058617</v>
      </c>
      <c r="S147">
        <f t="shared" si="18"/>
        <v>9.3932515761556044</v>
      </c>
      <c r="T147" t="str">
        <f t="shared" si="19"/>
        <v>West Bengal</v>
      </c>
      <c r="U147" t="str">
        <f t="shared" si="20"/>
        <v>Howrah</v>
      </c>
      <c r="V147" t="str">
        <f t="shared" si="21"/>
        <v>Sugarcane</v>
      </c>
      <c r="W147" t="str">
        <f t="shared" si="22"/>
        <v>Npk</v>
      </c>
      <c r="X147" t="str">
        <f t="shared" si="23"/>
        <v>Cash</v>
      </c>
    </row>
    <row r="148" spans="1:24" x14ac:dyDescent="0.25">
      <c r="A148" t="s">
        <v>212</v>
      </c>
      <c r="B148" s="1">
        <v>43934</v>
      </c>
      <c r="C148">
        <v>2020</v>
      </c>
      <c r="D148" t="s">
        <v>44</v>
      </c>
      <c r="E148" t="s">
        <v>67</v>
      </c>
      <c r="F148" t="s">
        <v>19</v>
      </c>
      <c r="G148" t="s">
        <v>64</v>
      </c>
      <c r="H148">
        <v>13.74</v>
      </c>
      <c r="I148">
        <v>21.71</v>
      </c>
      <c r="J148">
        <v>1580.09</v>
      </c>
      <c r="K148" t="s">
        <v>34</v>
      </c>
      <c r="L148" t="s">
        <v>47</v>
      </c>
      <c r="M148">
        <v>248.72</v>
      </c>
      <c r="N148">
        <v>539.09</v>
      </c>
      <c r="O148" t="s">
        <v>70</v>
      </c>
      <c r="P148">
        <v>31.32</v>
      </c>
      <c r="Q148" t="str">
        <f t="shared" si="16"/>
        <v>2020-04</v>
      </c>
      <c r="R148">
        <f t="shared" si="17"/>
        <v>639.44072357904531</v>
      </c>
      <c r="S148">
        <f t="shared" si="18"/>
        <v>2.5709260356185482</v>
      </c>
      <c r="T148" t="str">
        <f t="shared" si="19"/>
        <v>West Bengal</v>
      </c>
      <c r="U148" t="str">
        <f t="shared" si="20"/>
        <v>Darjeeling</v>
      </c>
      <c r="V148" t="str">
        <f t="shared" si="21"/>
        <v>Wheat</v>
      </c>
      <c r="W148" t="str">
        <f t="shared" si="22"/>
        <v>Vermicompost</v>
      </c>
      <c r="X148" t="str">
        <f t="shared" si="23"/>
        <v>Food</v>
      </c>
    </row>
    <row r="149" spans="1:24" x14ac:dyDescent="0.25">
      <c r="A149" t="s">
        <v>213</v>
      </c>
      <c r="B149" s="1">
        <v>43333</v>
      </c>
      <c r="C149">
        <v>2018</v>
      </c>
      <c r="D149" t="s">
        <v>59</v>
      </c>
      <c r="E149" t="s">
        <v>63</v>
      </c>
      <c r="F149" t="s">
        <v>33</v>
      </c>
      <c r="G149" t="s">
        <v>64</v>
      </c>
      <c r="H149">
        <v>4.8499999999999996</v>
      </c>
      <c r="I149">
        <v>25.62</v>
      </c>
      <c r="J149">
        <v>5281.55</v>
      </c>
      <c r="K149" t="s">
        <v>28</v>
      </c>
      <c r="L149" t="s">
        <v>41</v>
      </c>
      <c r="M149">
        <v>179.83</v>
      </c>
      <c r="N149">
        <v>348.94</v>
      </c>
      <c r="O149" t="s">
        <v>61</v>
      </c>
      <c r="P149">
        <v>22.1</v>
      </c>
      <c r="Q149" t="str">
        <f t="shared" si="16"/>
        <v>2018-08</v>
      </c>
      <c r="R149">
        <f t="shared" si="17"/>
        <v>2137.370753323486</v>
      </c>
      <c r="S149">
        <f t="shared" si="18"/>
        <v>11.885507164118811</v>
      </c>
      <c r="T149" t="str">
        <f t="shared" si="19"/>
        <v>Bihar</v>
      </c>
      <c r="U149" t="str">
        <f t="shared" si="20"/>
        <v>Gaya</v>
      </c>
      <c r="V149" t="str">
        <f t="shared" si="21"/>
        <v>Wheat</v>
      </c>
      <c r="W149" t="str">
        <f t="shared" si="22"/>
        <v>Dap</v>
      </c>
      <c r="X149" t="str">
        <f t="shared" si="23"/>
        <v>Food</v>
      </c>
    </row>
    <row r="150" spans="1:24" x14ac:dyDescent="0.25">
      <c r="A150" t="s">
        <v>214</v>
      </c>
      <c r="B150" s="1">
        <v>44529</v>
      </c>
      <c r="C150">
        <v>2021</v>
      </c>
      <c r="D150" t="s">
        <v>36</v>
      </c>
      <c r="E150" t="s">
        <v>77</v>
      </c>
      <c r="F150" t="s">
        <v>38</v>
      </c>
      <c r="G150" t="s">
        <v>27</v>
      </c>
      <c r="H150">
        <v>34.299999999999997</v>
      </c>
      <c r="I150">
        <v>204.76</v>
      </c>
      <c r="J150">
        <v>5969.74</v>
      </c>
      <c r="K150" t="s">
        <v>28</v>
      </c>
      <c r="L150" t="s">
        <v>29</v>
      </c>
      <c r="M150">
        <v>227.18</v>
      </c>
      <c r="N150">
        <v>499.79</v>
      </c>
      <c r="O150" t="s">
        <v>23</v>
      </c>
      <c r="P150">
        <v>25.53</v>
      </c>
      <c r="Q150" t="str">
        <f t="shared" si="16"/>
        <v>2021-11</v>
      </c>
      <c r="R150">
        <f t="shared" si="17"/>
        <v>2415.8717953906234</v>
      </c>
      <c r="S150">
        <f t="shared" si="18"/>
        <v>10.634174642973075</v>
      </c>
      <c r="T150" t="str">
        <f t="shared" si="19"/>
        <v>Karnataka</v>
      </c>
      <c r="U150" t="str">
        <f t="shared" si="20"/>
        <v>Hubli</v>
      </c>
      <c r="V150" t="str">
        <f t="shared" si="21"/>
        <v>Pulses</v>
      </c>
      <c r="W150" t="str">
        <f t="shared" si="22"/>
        <v>Compost</v>
      </c>
      <c r="X150" t="str">
        <f t="shared" si="23"/>
        <v>Food</v>
      </c>
    </row>
    <row r="151" spans="1:24" x14ac:dyDescent="0.25">
      <c r="A151" t="s">
        <v>215</v>
      </c>
      <c r="B151" s="1">
        <v>44698</v>
      </c>
      <c r="C151">
        <v>2022</v>
      </c>
      <c r="D151" t="s">
        <v>59</v>
      </c>
      <c r="E151" t="s">
        <v>63</v>
      </c>
      <c r="F151" t="s">
        <v>19</v>
      </c>
      <c r="G151" t="s">
        <v>39</v>
      </c>
      <c r="H151">
        <v>63.3</v>
      </c>
      <c r="I151">
        <v>290.01</v>
      </c>
      <c r="J151">
        <v>4581.46</v>
      </c>
      <c r="K151" t="s">
        <v>34</v>
      </c>
      <c r="L151" t="s">
        <v>22</v>
      </c>
      <c r="M151">
        <v>291.77</v>
      </c>
      <c r="N151">
        <v>982.9</v>
      </c>
      <c r="O151" t="s">
        <v>61</v>
      </c>
      <c r="P151">
        <v>28.66</v>
      </c>
      <c r="Q151" t="str">
        <f t="shared" si="16"/>
        <v>2022-05</v>
      </c>
      <c r="R151">
        <f t="shared" si="17"/>
        <v>1854.0539446793873</v>
      </c>
      <c r="S151">
        <f t="shared" si="18"/>
        <v>6.3545050713897506</v>
      </c>
      <c r="T151" t="str">
        <f t="shared" si="19"/>
        <v>Bihar</v>
      </c>
      <c r="U151" t="str">
        <f t="shared" si="20"/>
        <v>Gaya</v>
      </c>
      <c r="V151" t="str">
        <f t="shared" si="21"/>
        <v>Cotton</v>
      </c>
      <c r="W151" t="str">
        <f t="shared" si="22"/>
        <v>Urea</v>
      </c>
      <c r="X151" t="str">
        <f t="shared" si="23"/>
        <v>Cash</v>
      </c>
    </row>
    <row r="152" spans="1:24" x14ac:dyDescent="0.25">
      <c r="A152" t="s">
        <v>216</v>
      </c>
      <c r="B152" s="1">
        <v>41044</v>
      </c>
      <c r="C152">
        <v>2012</v>
      </c>
      <c r="D152" t="s">
        <v>59</v>
      </c>
      <c r="E152" t="s">
        <v>63</v>
      </c>
      <c r="F152" t="s">
        <v>19</v>
      </c>
      <c r="G152" t="s">
        <v>39</v>
      </c>
      <c r="H152">
        <v>72.400000000000006</v>
      </c>
      <c r="I152">
        <v>408.89</v>
      </c>
      <c r="J152">
        <v>5647.64</v>
      </c>
      <c r="K152" t="s">
        <v>28</v>
      </c>
      <c r="L152" t="s">
        <v>22</v>
      </c>
      <c r="M152">
        <v>86.94</v>
      </c>
      <c r="N152">
        <v>880.73</v>
      </c>
      <c r="O152" t="s">
        <v>23</v>
      </c>
      <c r="P152">
        <v>28.59</v>
      </c>
      <c r="Q152" t="str">
        <f t="shared" si="16"/>
        <v>2012-05</v>
      </c>
      <c r="R152">
        <f t="shared" si="17"/>
        <v>2285.5223487990938</v>
      </c>
      <c r="S152">
        <f t="shared" si="18"/>
        <v>26.288501826536621</v>
      </c>
      <c r="T152" t="str">
        <f t="shared" si="19"/>
        <v>Bihar</v>
      </c>
      <c r="U152" t="str">
        <f t="shared" si="20"/>
        <v>Gaya</v>
      </c>
      <c r="V152" t="str">
        <f t="shared" si="21"/>
        <v>Cotton</v>
      </c>
      <c r="W152" t="str">
        <f t="shared" si="22"/>
        <v>Urea</v>
      </c>
      <c r="X152" t="str">
        <f t="shared" si="23"/>
        <v>Cash</v>
      </c>
    </row>
    <row r="153" spans="1:24" x14ac:dyDescent="0.25">
      <c r="A153" t="s">
        <v>217</v>
      </c>
      <c r="B153" s="1">
        <v>43055</v>
      </c>
      <c r="C153">
        <v>2017</v>
      </c>
      <c r="D153" t="s">
        <v>103</v>
      </c>
      <c r="E153" t="s">
        <v>104</v>
      </c>
      <c r="F153" t="s">
        <v>38</v>
      </c>
      <c r="G153" t="s">
        <v>46</v>
      </c>
      <c r="H153">
        <v>15.99</v>
      </c>
      <c r="I153">
        <v>82.24</v>
      </c>
      <c r="J153">
        <v>5143</v>
      </c>
      <c r="K153" t="s">
        <v>28</v>
      </c>
      <c r="L153" t="s">
        <v>41</v>
      </c>
      <c r="M153">
        <v>175.45</v>
      </c>
      <c r="N153">
        <v>811.48</v>
      </c>
      <c r="O153" t="s">
        <v>52</v>
      </c>
      <c r="P153">
        <v>33.090000000000003</v>
      </c>
      <c r="Q153" t="str">
        <f t="shared" si="16"/>
        <v>2017-11</v>
      </c>
      <c r="R153">
        <f t="shared" si="17"/>
        <v>2081.3014710345806</v>
      </c>
      <c r="S153">
        <f t="shared" si="18"/>
        <v>11.862647312821776</v>
      </c>
      <c r="T153" t="str">
        <f t="shared" si="19"/>
        <v>Haryana</v>
      </c>
      <c r="U153" t="str">
        <f t="shared" si="20"/>
        <v>Gurgaon</v>
      </c>
      <c r="V153" t="str">
        <f t="shared" si="21"/>
        <v>Sugarcane</v>
      </c>
      <c r="W153" t="str">
        <f t="shared" si="22"/>
        <v>Dap</v>
      </c>
      <c r="X153" t="str">
        <f t="shared" si="23"/>
        <v>Cash</v>
      </c>
    </row>
    <row r="154" spans="1:24" x14ac:dyDescent="0.25">
      <c r="A154" t="s">
        <v>218</v>
      </c>
      <c r="B154" s="1">
        <v>43472</v>
      </c>
      <c r="C154">
        <v>2018</v>
      </c>
      <c r="D154" t="s">
        <v>59</v>
      </c>
      <c r="E154" t="s">
        <v>60</v>
      </c>
      <c r="F154" t="s">
        <v>38</v>
      </c>
      <c r="G154" t="s">
        <v>39</v>
      </c>
      <c r="H154">
        <v>48.36</v>
      </c>
      <c r="I154">
        <v>157.69999999999999</v>
      </c>
      <c r="J154">
        <v>3260.95</v>
      </c>
      <c r="K154" t="s">
        <v>40</v>
      </c>
      <c r="L154" t="s">
        <v>47</v>
      </c>
      <c r="M154">
        <v>164.92</v>
      </c>
      <c r="N154">
        <v>733.13</v>
      </c>
      <c r="O154" t="s">
        <v>61</v>
      </c>
      <c r="P154">
        <v>25.31</v>
      </c>
      <c r="Q154" t="str">
        <f t="shared" si="16"/>
        <v>2019-01</v>
      </c>
      <c r="R154">
        <f t="shared" si="17"/>
        <v>1319.6616822808116</v>
      </c>
      <c r="S154">
        <f t="shared" si="18"/>
        <v>8.0018292643755267</v>
      </c>
      <c r="T154" t="str">
        <f t="shared" si="19"/>
        <v>Bihar</v>
      </c>
      <c r="U154" t="str">
        <f t="shared" si="20"/>
        <v>Patna</v>
      </c>
      <c r="V154" t="str">
        <f t="shared" si="21"/>
        <v>Cotton</v>
      </c>
      <c r="W154" t="str">
        <f t="shared" si="22"/>
        <v>Vermicompost</v>
      </c>
      <c r="X154" t="str">
        <f t="shared" si="23"/>
        <v>Cash</v>
      </c>
    </row>
    <row r="155" spans="1:24" x14ac:dyDescent="0.25">
      <c r="A155" t="s">
        <v>219</v>
      </c>
      <c r="B155" s="1">
        <v>41668</v>
      </c>
      <c r="C155">
        <v>2013</v>
      </c>
      <c r="D155" t="s">
        <v>36</v>
      </c>
      <c r="E155" t="s">
        <v>37</v>
      </c>
      <c r="F155" t="s">
        <v>38</v>
      </c>
      <c r="G155" t="s">
        <v>27</v>
      </c>
      <c r="H155">
        <v>30.55</v>
      </c>
      <c r="I155">
        <v>203.12</v>
      </c>
      <c r="J155">
        <v>6648.91</v>
      </c>
      <c r="K155" t="s">
        <v>34</v>
      </c>
      <c r="L155" t="s">
        <v>47</v>
      </c>
      <c r="M155">
        <v>242.79</v>
      </c>
      <c r="N155">
        <v>904.9</v>
      </c>
      <c r="O155" t="s">
        <v>52</v>
      </c>
      <c r="P155">
        <v>24.76</v>
      </c>
      <c r="Q155" t="str">
        <f t="shared" si="16"/>
        <v>2014-01</v>
      </c>
      <c r="R155">
        <f t="shared" si="17"/>
        <v>2690.7225673296775</v>
      </c>
      <c r="S155">
        <f t="shared" si="18"/>
        <v>11.082509853493463</v>
      </c>
      <c r="T155" t="str">
        <f t="shared" si="19"/>
        <v>Karnataka</v>
      </c>
      <c r="U155" t="str">
        <f t="shared" si="20"/>
        <v>Bangalore</v>
      </c>
      <c r="V155" t="str">
        <f t="shared" si="21"/>
        <v>Pulses</v>
      </c>
      <c r="W155" t="str">
        <f t="shared" si="22"/>
        <v>Vermicompost</v>
      </c>
      <c r="X155" t="str">
        <f t="shared" si="23"/>
        <v>Food</v>
      </c>
    </row>
    <row r="156" spans="1:24" x14ac:dyDescent="0.25">
      <c r="A156" t="s">
        <v>220</v>
      </c>
      <c r="B156" s="1">
        <v>42017</v>
      </c>
      <c r="C156">
        <v>2014</v>
      </c>
      <c r="D156" t="s">
        <v>44</v>
      </c>
      <c r="E156" t="s">
        <v>67</v>
      </c>
      <c r="F156" t="s">
        <v>38</v>
      </c>
      <c r="G156" t="s">
        <v>64</v>
      </c>
      <c r="H156">
        <v>57.77</v>
      </c>
      <c r="I156">
        <v>246.05</v>
      </c>
      <c r="J156">
        <v>4259.1499999999996</v>
      </c>
      <c r="K156" t="s">
        <v>28</v>
      </c>
      <c r="L156" t="s">
        <v>22</v>
      </c>
      <c r="M156">
        <v>254.59</v>
      </c>
      <c r="N156">
        <v>1154.6099999999999</v>
      </c>
      <c r="O156" t="s">
        <v>42</v>
      </c>
      <c r="P156">
        <v>24.36</v>
      </c>
      <c r="Q156" t="str">
        <f t="shared" si="16"/>
        <v>2015-01</v>
      </c>
      <c r="R156">
        <f t="shared" si="17"/>
        <v>1723.6195139717931</v>
      </c>
      <c r="S156">
        <f t="shared" si="18"/>
        <v>6.7701775952385921</v>
      </c>
      <c r="T156" t="str">
        <f t="shared" si="19"/>
        <v>West Bengal</v>
      </c>
      <c r="U156" t="str">
        <f t="shared" si="20"/>
        <v>Darjeeling</v>
      </c>
      <c r="V156" t="str">
        <f t="shared" si="21"/>
        <v>Wheat</v>
      </c>
      <c r="W156" t="str">
        <f t="shared" si="22"/>
        <v>Urea</v>
      </c>
      <c r="X156" t="str">
        <f t="shared" si="23"/>
        <v>Food</v>
      </c>
    </row>
    <row r="157" spans="1:24" x14ac:dyDescent="0.25">
      <c r="A157" t="s">
        <v>221</v>
      </c>
      <c r="B157" s="1">
        <v>44286</v>
      </c>
      <c r="C157">
        <v>2020</v>
      </c>
      <c r="D157" t="s">
        <v>31</v>
      </c>
      <c r="E157" t="s">
        <v>32</v>
      </c>
      <c r="F157" t="s">
        <v>38</v>
      </c>
      <c r="G157" t="s">
        <v>39</v>
      </c>
      <c r="H157">
        <v>48.43</v>
      </c>
      <c r="I157">
        <v>107.15</v>
      </c>
      <c r="J157">
        <v>2212.41</v>
      </c>
      <c r="K157" t="s">
        <v>34</v>
      </c>
      <c r="L157" t="s">
        <v>41</v>
      </c>
      <c r="M157">
        <v>283.26</v>
      </c>
      <c r="N157">
        <v>896.17</v>
      </c>
      <c r="O157" t="s">
        <v>42</v>
      </c>
      <c r="P157">
        <v>21.64</v>
      </c>
      <c r="Q157" t="str">
        <f t="shared" si="16"/>
        <v>2021-03</v>
      </c>
      <c r="R157">
        <f t="shared" si="17"/>
        <v>895.33194391048335</v>
      </c>
      <c r="S157">
        <f t="shared" si="18"/>
        <v>3.1608131889800304</v>
      </c>
      <c r="T157" t="str">
        <f t="shared" si="19"/>
        <v>Maharashtra</v>
      </c>
      <c r="U157" t="str">
        <f t="shared" si="20"/>
        <v>Pune</v>
      </c>
      <c r="V157" t="str">
        <f t="shared" si="21"/>
        <v>Cotton</v>
      </c>
      <c r="W157" t="str">
        <f t="shared" si="22"/>
        <v>Dap</v>
      </c>
      <c r="X157" t="str">
        <f t="shared" si="23"/>
        <v>Cash</v>
      </c>
    </row>
    <row r="158" spans="1:24" x14ac:dyDescent="0.25">
      <c r="A158" t="s">
        <v>222</v>
      </c>
      <c r="B158" s="1">
        <v>43957</v>
      </c>
      <c r="C158">
        <v>2020</v>
      </c>
      <c r="D158" t="s">
        <v>103</v>
      </c>
      <c r="E158" t="s">
        <v>104</v>
      </c>
      <c r="F158" t="s">
        <v>19</v>
      </c>
      <c r="G158" t="s">
        <v>56</v>
      </c>
      <c r="H158">
        <v>64.16</v>
      </c>
      <c r="I158">
        <v>84.37</v>
      </c>
      <c r="J158">
        <v>1314.95</v>
      </c>
      <c r="K158" t="s">
        <v>28</v>
      </c>
      <c r="L158" t="s">
        <v>41</v>
      </c>
      <c r="M158">
        <v>132.57</v>
      </c>
      <c r="N158">
        <v>672.4</v>
      </c>
      <c r="O158" t="s">
        <v>42</v>
      </c>
      <c r="P158">
        <v>20.079999999999998</v>
      </c>
      <c r="Q158" t="str">
        <f t="shared" si="16"/>
        <v>2020-05</v>
      </c>
      <c r="R158">
        <f t="shared" si="17"/>
        <v>532.14220675421382</v>
      </c>
      <c r="S158">
        <f t="shared" si="18"/>
        <v>4.0140469695573193</v>
      </c>
      <c r="T158" t="str">
        <f t="shared" si="19"/>
        <v>Haryana</v>
      </c>
      <c r="U158" t="str">
        <f t="shared" si="20"/>
        <v>Gurgaon</v>
      </c>
      <c r="V158" t="str">
        <f t="shared" si="21"/>
        <v>Rice</v>
      </c>
      <c r="W158" t="str">
        <f t="shared" si="22"/>
        <v>Dap</v>
      </c>
      <c r="X158" t="str">
        <f t="shared" si="23"/>
        <v>Food</v>
      </c>
    </row>
    <row r="159" spans="1:24" x14ac:dyDescent="0.25">
      <c r="A159" t="s">
        <v>223</v>
      </c>
      <c r="B159" s="1">
        <v>43099</v>
      </c>
      <c r="C159">
        <v>2017</v>
      </c>
      <c r="D159" t="s">
        <v>36</v>
      </c>
      <c r="E159" t="s">
        <v>77</v>
      </c>
      <c r="F159" t="s">
        <v>38</v>
      </c>
      <c r="G159" t="s">
        <v>39</v>
      </c>
      <c r="H159">
        <v>20.75</v>
      </c>
      <c r="I159">
        <v>140.76</v>
      </c>
      <c r="J159">
        <v>6783.48</v>
      </c>
      <c r="K159" t="s">
        <v>34</v>
      </c>
      <c r="L159" t="s">
        <v>47</v>
      </c>
      <c r="M159">
        <v>121.35</v>
      </c>
      <c r="N159">
        <v>259.16000000000003</v>
      </c>
      <c r="O159" t="s">
        <v>23</v>
      </c>
      <c r="P159">
        <v>29.78</v>
      </c>
      <c r="Q159" t="str">
        <f t="shared" si="16"/>
        <v>2017-12</v>
      </c>
      <c r="R159">
        <f t="shared" si="17"/>
        <v>2745.1811982760364</v>
      </c>
      <c r="S159">
        <f t="shared" si="18"/>
        <v>22.622012346732891</v>
      </c>
      <c r="T159" t="str">
        <f t="shared" si="19"/>
        <v>Karnataka</v>
      </c>
      <c r="U159" t="str">
        <f t="shared" si="20"/>
        <v>Hubli</v>
      </c>
      <c r="V159" t="str">
        <f t="shared" si="21"/>
        <v>Cotton</v>
      </c>
      <c r="W159" t="str">
        <f t="shared" si="22"/>
        <v>Vermicompost</v>
      </c>
      <c r="X159" t="str">
        <f t="shared" si="23"/>
        <v>Cash</v>
      </c>
    </row>
    <row r="160" spans="1:24" x14ac:dyDescent="0.25">
      <c r="A160" t="s">
        <v>224</v>
      </c>
      <c r="B160" s="1">
        <v>40404</v>
      </c>
      <c r="C160">
        <v>2010</v>
      </c>
      <c r="D160" t="s">
        <v>17</v>
      </c>
      <c r="E160" t="s">
        <v>54</v>
      </c>
      <c r="F160" t="s">
        <v>33</v>
      </c>
      <c r="G160" t="s">
        <v>46</v>
      </c>
      <c r="H160">
        <v>88.34</v>
      </c>
      <c r="I160">
        <v>181.51</v>
      </c>
      <c r="J160">
        <v>2054.73</v>
      </c>
      <c r="K160" t="s">
        <v>21</v>
      </c>
      <c r="L160" t="s">
        <v>22</v>
      </c>
      <c r="M160">
        <v>299.29000000000002</v>
      </c>
      <c r="N160">
        <v>596.99</v>
      </c>
      <c r="O160" t="s">
        <v>52</v>
      </c>
      <c r="P160">
        <v>22.79</v>
      </c>
      <c r="Q160" t="str">
        <f t="shared" si="16"/>
        <v>2010-08</v>
      </c>
      <c r="R160">
        <f t="shared" si="17"/>
        <v>831.52101333441249</v>
      </c>
      <c r="S160">
        <f t="shared" si="18"/>
        <v>2.7783120496321709</v>
      </c>
      <c r="T160" t="str">
        <f t="shared" si="19"/>
        <v>Uttar Pradesh</v>
      </c>
      <c r="U160" t="str">
        <f t="shared" si="20"/>
        <v>Varanasi</v>
      </c>
      <c r="V160" t="str">
        <f t="shared" si="21"/>
        <v>Sugarcane</v>
      </c>
      <c r="W160" t="str">
        <f t="shared" si="22"/>
        <v>Urea</v>
      </c>
      <c r="X160" t="str">
        <f t="shared" si="23"/>
        <v>Cash</v>
      </c>
    </row>
    <row r="161" spans="1:24" x14ac:dyDescent="0.25">
      <c r="A161" t="s">
        <v>225</v>
      </c>
      <c r="B161" s="1">
        <v>43564</v>
      </c>
      <c r="C161">
        <v>2019</v>
      </c>
      <c r="D161" t="s">
        <v>25</v>
      </c>
      <c r="E161" t="s">
        <v>87</v>
      </c>
      <c r="F161" t="s">
        <v>19</v>
      </c>
      <c r="G161" t="s">
        <v>64</v>
      </c>
      <c r="H161">
        <v>92.92</v>
      </c>
      <c r="I161">
        <v>279.70999999999998</v>
      </c>
      <c r="J161">
        <v>3010.25</v>
      </c>
      <c r="K161" t="s">
        <v>28</v>
      </c>
      <c r="L161" t="s">
        <v>47</v>
      </c>
      <c r="M161">
        <v>297.27</v>
      </c>
      <c r="N161">
        <v>743.3</v>
      </c>
      <c r="O161" t="s">
        <v>52</v>
      </c>
      <c r="P161">
        <v>33.340000000000003</v>
      </c>
      <c r="Q161" t="str">
        <f t="shared" si="16"/>
        <v>2019-04</v>
      </c>
      <c r="R161">
        <f t="shared" si="17"/>
        <v>1218.2068351510491</v>
      </c>
      <c r="S161">
        <f t="shared" si="18"/>
        <v>4.0979810783161748</v>
      </c>
      <c r="T161" t="str">
        <f t="shared" si="19"/>
        <v>Punjab</v>
      </c>
      <c r="U161" t="str">
        <f t="shared" si="20"/>
        <v>Amritsar</v>
      </c>
      <c r="V161" t="str">
        <f t="shared" si="21"/>
        <v>Wheat</v>
      </c>
      <c r="W161" t="str">
        <f t="shared" si="22"/>
        <v>Vermicompost</v>
      </c>
      <c r="X161" t="str">
        <f t="shared" si="23"/>
        <v>Food</v>
      </c>
    </row>
    <row r="162" spans="1:24" x14ac:dyDescent="0.25">
      <c r="A162" t="s">
        <v>226</v>
      </c>
      <c r="B162" s="1">
        <v>41571</v>
      </c>
      <c r="C162">
        <v>2013</v>
      </c>
      <c r="D162" t="s">
        <v>36</v>
      </c>
      <c r="E162" t="s">
        <v>51</v>
      </c>
      <c r="F162" t="s">
        <v>33</v>
      </c>
      <c r="G162" t="s">
        <v>20</v>
      </c>
      <c r="H162">
        <v>17.09</v>
      </c>
      <c r="I162">
        <v>64.150000000000006</v>
      </c>
      <c r="J162">
        <v>3753.49</v>
      </c>
      <c r="K162" t="s">
        <v>34</v>
      </c>
      <c r="L162" t="s">
        <v>41</v>
      </c>
      <c r="M162">
        <v>229.65</v>
      </c>
      <c r="N162">
        <v>214.08</v>
      </c>
      <c r="O162" t="s">
        <v>70</v>
      </c>
      <c r="P162">
        <v>31.86</v>
      </c>
      <c r="Q162" t="str">
        <f t="shared" si="16"/>
        <v>2013-10</v>
      </c>
      <c r="R162">
        <f t="shared" si="17"/>
        <v>1518.9858562149693</v>
      </c>
      <c r="S162">
        <f t="shared" si="18"/>
        <v>6.6143516490963172</v>
      </c>
      <c r="T162" t="str">
        <f t="shared" si="19"/>
        <v>Karnataka</v>
      </c>
      <c r="U162" t="str">
        <f t="shared" si="20"/>
        <v>Mysore</v>
      </c>
      <c r="V162" t="str">
        <f t="shared" si="21"/>
        <v>Maize</v>
      </c>
      <c r="W162" t="str">
        <f t="shared" si="22"/>
        <v>Dap</v>
      </c>
      <c r="X162" t="str">
        <f t="shared" si="23"/>
        <v>Food</v>
      </c>
    </row>
    <row r="163" spans="1:24" x14ac:dyDescent="0.25">
      <c r="A163" t="s">
        <v>227</v>
      </c>
      <c r="B163" s="1">
        <v>44137</v>
      </c>
      <c r="C163">
        <v>2020</v>
      </c>
      <c r="D163" t="s">
        <v>103</v>
      </c>
      <c r="E163" t="s">
        <v>228</v>
      </c>
      <c r="F163" t="s">
        <v>38</v>
      </c>
      <c r="G163" t="s">
        <v>46</v>
      </c>
      <c r="H163">
        <v>52.01</v>
      </c>
      <c r="I163">
        <v>79.08</v>
      </c>
      <c r="J163">
        <v>1520.43</v>
      </c>
      <c r="K163" t="s">
        <v>21</v>
      </c>
      <c r="L163" t="s">
        <v>49</v>
      </c>
      <c r="M163">
        <v>96.2</v>
      </c>
      <c r="N163">
        <v>340.61</v>
      </c>
      <c r="O163" t="s">
        <v>70</v>
      </c>
      <c r="P163">
        <v>34.04</v>
      </c>
      <c r="Q163" t="str">
        <f t="shared" si="16"/>
        <v>2020-11</v>
      </c>
      <c r="R163">
        <f t="shared" si="17"/>
        <v>615.2971408915239</v>
      </c>
      <c r="S163">
        <f t="shared" si="18"/>
        <v>6.3960201755875659</v>
      </c>
      <c r="T163" t="str">
        <f t="shared" si="19"/>
        <v>Haryana</v>
      </c>
      <c r="U163" t="str">
        <f t="shared" si="20"/>
        <v>Hisar</v>
      </c>
      <c r="V163" t="str">
        <f t="shared" si="21"/>
        <v>Sugarcane</v>
      </c>
      <c r="W163" t="str">
        <f t="shared" si="22"/>
        <v>Npk</v>
      </c>
      <c r="X163" t="str">
        <f t="shared" si="23"/>
        <v>Cash</v>
      </c>
    </row>
    <row r="164" spans="1:24" x14ac:dyDescent="0.25">
      <c r="A164" t="s">
        <v>229</v>
      </c>
      <c r="B164" s="1">
        <v>43070</v>
      </c>
      <c r="C164">
        <v>2017</v>
      </c>
      <c r="D164" t="s">
        <v>36</v>
      </c>
      <c r="E164" t="s">
        <v>37</v>
      </c>
      <c r="F164" t="s">
        <v>38</v>
      </c>
      <c r="G164" t="s">
        <v>20</v>
      </c>
      <c r="H164">
        <v>30.89</v>
      </c>
      <c r="I164">
        <v>164.87</v>
      </c>
      <c r="J164">
        <v>5337.3</v>
      </c>
      <c r="K164" t="s">
        <v>21</v>
      </c>
      <c r="L164" t="s">
        <v>29</v>
      </c>
      <c r="M164">
        <v>115.39</v>
      </c>
      <c r="N164">
        <v>559.54999999999995</v>
      </c>
      <c r="O164" t="s">
        <v>42</v>
      </c>
      <c r="P164">
        <v>20.93</v>
      </c>
      <c r="Q164" t="str">
        <f t="shared" si="16"/>
        <v>2017-12</v>
      </c>
      <c r="R164">
        <f t="shared" si="17"/>
        <v>2159.9320127071487</v>
      </c>
      <c r="S164">
        <f t="shared" si="18"/>
        <v>18.718537245057185</v>
      </c>
      <c r="T164" t="str">
        <f t="shared" si="19"/>
        <v>Karnataka</v>
      </c>
      <c r="U164" t="str">
        <f t="shared" si="20"/>
        <v>Bangalore</v>
      </c>
      <c r="V164" t="str">
        <f t="shared" si="21"/>
        <v>Maize</v>
      </c>
      <c r="W164" t="str">
        <f t="shared" si="22"/>
        <v>Compost</v>
      </c>
      <c r="X164" t="str">
        <f t="shared" si="23"/>
        <v>Food</v>
      </c>
    </row>
    <row r="165" spans="1:24" x14ac:dyDescent="0.25">
      <c r="A165" t="s">
        <v>230</v>
      </c>
      <c r="B165" s="1">
        <v>42475</v>
      </c>
      <c r="C165">
        <v>2016</v>
      </c>
      <c r="D165" t="s">
        <v>31</v>
      </c>
      <c r="E165" t="s">
        <v>82</v>
      </c>
      <c r="F165" t="s">
        <v>19</v>
      </c>
      <c r="G165" t="s">
        <v>27</v>
      </c>
      <c r="H165">
        <v>92.39</v>
      </c>
      <c r="I165">
        <v>584.53</v>
      </c>
      <c r="J165">
        <v>6326.81</v>
      </c>
      <c r="K165" t="s">
        <v>34</v>
      </c>
      <c r="L165" t="s">
        <v>41</v>
      </c>
      <c r="M165">
        <v>222.57</v>
      </c>
      <c r="N165">
        <v>838.71</v>
      </c>
      <c r="O165" t="s">
        <v>70</v>
      </c>
      <c r="P165">
        <v>25.51</v>
      </c>
      <c r="Q165" t="str">
        <f t="shared" si="16"/>
        <v>2016-04</v>
      </c>
      <c r="R165">
        <f t="shared" si="17"/>
        <v>2560.3731207381479</v>
      </c>
      <c r="S165">
        <f t="shared" si="18"/>
        <v>11.503675790709206</v>
      </c>
      <c r="T165" t="str">
        <f t="shared" si="19"/>
        <v>Maharashtra</v>
      </c>
      <c r="U165" t="str">
        <f t="shared" si="20"/>
        <v>Nagpur</v>
      </c>
      <c r="V165" t="str">
        <f t="shared" si="21"/>
        <v>Pulses</v>
      </c>
      <c r="W165" t="str">
        <f t="shared" si="22"/>
        <v>Dap</v>
      </c>
      <c r="X165" t="str">
        <f t="shared" si="23"/>
        <v>Food</v>
      </c>
    </row>
    <row r="166" spans="1:24" x14ac:dyDescent="0.25">
      <c r="A166" t="s">
        <v>231</v>
      </c>
      <c r="B166" s="1">
        <v>41234</v>
      </c>
      <c r="C166">
        <v>2012</v>
      </c>
      <c r="D166" t="s">
        <v>103</v>
      </c>
      <c r="E166" t="s">
        <v>107</v>
      </c>
      <c r="F166" t="s">
        <v>38</v>
      </c>
      <c r="G166" t="s">
        <v>39</v>
      </c>
      <c r="H166">
        <v>98.89</v>
      </c>
      <c r="I166">
        <v>320.58</v>
      </c>
      <c r="J166">
        <v>3241.75</v>
      </c>
      <c r="K166" t="s">
        <v>28</v>
      </c>
      <c r="L166" t="s">
        <v>47</v>
      </c>
      <c r="M166">
        <v>239.34</v>
      </c>
      <c r="N166">
        <v>1001.99</v>
      </c>
      <c r="O166" t="s">
        <v>42</v>
      </c>
      <c r="P166">
        <v>31.43</v>
      </c>
      <c r="Q166" t="str">
        <f t="shared" si="16"/>
        <v>2012-11</v>
      </c>
      <c r="R166">
        <f t="shared" si="17"/>
        <v>1311.8917059549585</v>
      </c>
      <c r="S166">
        <f t="shared" si="18"/>
        <v>5.4812889861910188</v>
      </c>
      <c r="T166" t="str">
        <f t="shared" si="19"/>
        <v>Haryana</v>
      </c>
      <c r="U166" t="str">
        <f t="shared" si="20"/>
        <v>Faridabad</v>
      </c>
      <c r="V166" t="str">
        <f t="shared" si="21"/>
        <v>Cotton</v>
      </c>
      <c r="W166" t="str">
        <f t="shared" si="22"/>
        <v>Vermicompost</v>
      </c>
      <c r="X166" t="str">
        <f t="shared" si="23"/>
        <v>Cash</v>
      </c>
    </row>
    <row r="167" spans="1:24" x14ac:dyDescent="0.25">
      <c r="A167" t="s">
        <v>232</v>
      </c>
      <c r="B167" s="1">
        <v>44614</v>
      </c>
      <c r="C167">
        <v>2021</v>
      </c>
      <c r="D167" t="s">
        <v>36</v>
      </c>
      <c r="E167" t="s">
        <v>77</v>
      </c>
      <c r="F167" t="s">
        <v>38</v>
      </c>
      <c r="G167" t="s">
        <v>64</v>
      </c>
      <c r="H167">
        <v>91.81</v>
      </c>
      <c r="I167">
        <v>153.62</v>
      </c>
      <c r="J167">
        <v>1673.25</v>
      </c>
      <c r="K167" t="s">
        <v>40</v>
      </c>
      <c r="L167" t="s">
        <v>22</v>
      </c>
      <c r="M167">
        <v>193.18</v>
      </c>
      <c r="N167">
        <v>349.85</v>
      </c>
      <c r="O167" t="s">
        <v>70</v>
      </c>
      <c r="P167">
        <v>32.82</v>
      </c>
      <c r="Q167" t="str">
        <f t="shared" si="16"/>
        <v>2022-02</v>
      </c>
      <c r="R167">
        <f t="shared" si="17"/>
        <v>677.14129621011307</v>
      </c>
      <c r="S167">
        <f t="shared" si="18"/>
        <v>3.5052349943581791</v>
      </c>
      <c r="T167" t="str">
        <f t="shared" si="19"/>
        <v>Karnataka</v>
      </c>
      <c r="U167" t="str">
        <f t="shared" si="20"/>
        <v>Hubli</v>
      </c>
      <c r="V167" t="str">
        <f t="shared" si="21"/>
        <v>Wheat</v>
      </c>
      <c r="W167" t="str">
        <f t="shared" si="22"/>
        <v>Urea</v>
      </c>
      <c r="X167" t="str">
        <f t="shared" si="23"/>
        <v>Food</v>
      </c>
    </row>
    <row r="168" spans="1:24" x14ac:dyDescent="0.25">
      <c r="A168" t="s">
        <v>233</v>
      </c>
      <c r="B168" s="1">
        <v>44322</v>
      </c>
      <c r="C168">
        <v>2021</v>
      </c>
      <c r="D168" t="s">
        <v>17</v>
      </c>
      <c r="E168" t="s">
        <v>18</v>
      </c>
      <c r="F168" t="s">
        <v>19</v>
      </c>
      <c r="G168" t="s">
        <v>46</v>
      </c>
      <c r="H168">
        <v>10</v>
      </c>
      <c r="I168">
        <v>40.619999999999997</v>
      </c>
      <c r="J168">
        <v>4062.25</v>
      </c>
      <c r="K168" t="s">
        <v>21</v>
      </c>
      <c r="L168" t="s">
        <v>29</v>
      </c>
      <c r="M168">
        <v>163.36000000000001</v>
      </c>
      <c r="N168">
        <v>713.25</v>
      </c>
      <c r="O168" t="s">
        <v>52</v>
      </c>
      <c r="P168">
        <v>28.46</v>
      </c>
      <c r="Q168" t="str">
        <f t="shared" si="16"/>
        <v>2021-05</v>
      </c>
      <c r="R168">
        <f t="shared" si="17"/>
        <v>1643.9367880050991</v>
      </c>
      <c r="S168">
        <f t="shared" si="18"/>
        <v>10.063276126377932</v>
      </c>
      <c r="T168" t="str">
        <f t="shared" si="19"/>
        <v>Uttar Pradesh</v>
      </c>
      <c r="U168" t="str">
        <f t="shared" si="20"/>
        <v>Lucknow</v>
      </c>
      <c r="V168" t="str">
        <f t="shared" si="21"/>
        <v>Sugarcane</v>
      </c>
      <c r="W168" t="str">
        <f t="shared" si="22"/>
        <v>Compost</v>
      </c>
      <c r="X168" t="str">
        <f t="shared" si="23"/>
        <v>Cash</v>
      </c>
    </row>
    <row r="169" spans="1:24" x14ac:dyDescent="0.25">
      <c r="A169" t="s">
        <v>234</v>
      </c>
      <c r="B169" s="1">
        <v>44486</v>
      </c>
      <c r="C169">
        <v>2021</v>
      </c>
      <c r="D169" t="s">
        <v>17</v>
      </c>
      <c r="E169" t="s">
        <v>72</v>
      </c>
      <c r="F169" t="s">
        <v>33</v>
      </c>
      <c r="G169" t="s">
        <v>46</v>
      </c>
      <c r="H169">
        <v>26.19</v>
      </c>
      <c r="I169">
        <v>26.66</v>
      </c>
      <c r="J169">
        <v>1018.09</v>
      </c>
      <c r="K169" t="s">
        <v>40</v>
      </c>
      <c r="L169" t="s">
        <v>22</v>
      </c>
      <c r="M169">
        <v>194.58</v>
      </c>
      <c r="N169">
        <v>245.29</v>
      </c>
      <c r="O169" t="s">
        <v>70</v>
      </c>
      <c r="P169">
        <v>30.51</v>
      </c>
      <c r="Q169" t="str">
        <f t="shared" si="16"/>
        <v>2021-10</v>
      </c>
      <c r="R169">
        <f t="shared" si="17"/>
        <v>412.00704154104534</v>
      </c>
      <c r="S169">
        <f t="shared" si="18"/>
        <v>2.1174172142103265</v>
      </c>
      <c r="T169" t="str">
        <f t="shared" si="19"/>
        <v>Uttar Pradesh</v>
      </c>
      <c r="U169" t="str">
        <f t="shared" si="20"/>
        <v>Kanpur</v>
      </c>
      <c r="V169" t="str">
        <f t="shared" si="21"/>
        <v>Sugarcane</v>
      </c>
      <c r="W169" t="str">
        <f t="shared" si="22"/>
        <v>Urea</v>
      </c>
      <c r="X169" t="str">
        <f t="shared" si="23"/>
        <v>Cash</v>
      </c>
    </row>
    <row r="170" spans="1:24" x14ac:dyDescent="0.25">
      <c r="A170" t="s">
        <v>235</v>
      </c>
      <c r="B170" s="1">
        <v>40579</v>
      </c>
      <c r="C170">
        <v>2010</v>
      </c>
      <c r="D170" t="s">
        <v>25</v>
      </c>
      <c r="E170" t="s">
        <v>87</v>
      </c>
      <c r="F170" t="s">
        <v>38</v>
      </c>
      <c r="G170" t="s">
        <v>46</v>
      </c>
      <c r="H170">
        <v>18.82</v>
      </c>
      <c r="I170">
        <v>34.11</v>
      </c>
      <c r="J170">
        <v>1812.57</v>
      </c>
      <c r="K170" t="s">
        <v>28</v>
      </c>
      <c r="L170" t="s">
        <v>29</v>
      </c>
      <c r="M170">
        <v>143.62</v>
      </c>
      <c r="N170">
        <v>1091.33</v>
      </c>
      <c r="O170" t="s">
        <v>52</v>
      </c>
      <c r="P170">
        <v>33.04</v>
      </c>
      <c r="Q170" t="str">
        <f t="shared" si="16"/>
        <v>2011-02</v>
      </c>
      <c r="R170">
        <f t="shared" si="17"/>
        <v>733.52218692458666</v>
      </c>
      <c r="S170">
        <f t="shared" si="18"/>
        <v>5.1073818891838645</v>
      </c>
      <c r="T170" t="str">
        <f t="shared" si="19"/>
        <v>Punjab</v>
      </c>
      <c r="U170" t="str">
        <f t="shared" si="20"/>
        <v>Amritsar</v>
      </c>
      <c r="V170" t="str">
        <f t="shared" si="21"/>
        <v>Sugarcane</v>
      </c>
      <c r="W170" t="str">
        <f t="shared" si="22"/>
        <v>Compost</v>
      </c>
      <c r="X170" t="str">
        <f t="shared" si="23"/>
        <v>Cash</v>
      </c>
    </row>
    <row r="171" spans="1:24" x14ac:dyDescent="0.25">
      <c r="A171" t="s">
        <v>236</v>
      </c>
      <c r="B171" s="1">
        <v>43936</v>
      </c>
      <c r="C171">
        <v>2020</v>
      </c>
      <c r="D171" t="s">
        <v>25</v>
      </c>
      <c r="E171" t="s">
        <v>69</v>
      </c>
      <c r="F171" t="s">
        <v>19</v>
      </c>
      <c r="G171" t="s">
        <v>56</v>
      </c>
      <c r="H171">
        <v>65.7</v>
      </c>
      <c r="I171">
        <v>202.79</v>
      </c>
      <c r="J171">
        <v>3086.62</v>
      </c>
      <c r="K171" t="s">
        <v>40</v>
      </c>
      <c r="L171" t="s">
        <v>22</v>
      </c>
      <c r="M171">
        <v>298.20999999999998</v>
      </c>
      <c r="N171">
        <v>593.05999999999995</v>
      </c>
      <c r="O171" t="s">
        <v>42</v>
      </c>
      <c r="P171">
        <v>30.92</v>
      </c>
      <c r="Q171" t="str">
        <f t="shared" si="16"/>
        <v>2020-04</v>
      </c>
      <c r="R171">
        <f t="shared" si="17"/>
        <v>1249.1127253596649</v>
      </c>
      <c r="S171">
        <f t="shared" si="18"/>
        <v>4.1887016711701985</v>
      </c>
      <c r="T171" t="str">
        <f t="shared" si="19"/>
        <v>Punjab</v>
      </c>
      <c r="U171" t="str">
        <f t="shared" si="20"/>
        <v>Patiala</v>
      </c>
      <c r="V171" t="str">
        <f t="shared" si="21"/>
        <v>Rice</v>
      </c>
      <c r="W171" t="str">
        <f t="shared" si="22"/>
        <v>Urea</v>
      </c>
      <c r="X171" t="str">
        <f t="shared" si="23"/>
        <v>Food</v>
      </c>
    </row>
    <row r="172" spans="1:24" x14ac:dyDescent="0.25">
      <c r="A172" t="s">
        <v>237</v>
      </c>
      <c r="B172" s="1">
        <v>41992</v>
      </c>
      <c r="C172">
        <v>2014</v>
      </c>
      <c r="D172" t="s">
        <v>44</v>
      </c>
      <c r="E172" t="s">
        <v>45</v>
      </c>
      <c r="F172" t="s">
        <v>38</v>
      </c>
      <c r="G172" t="s">
        <v>39</v>
      </c>
      <c r="H172">
        <v>72.19</v>
      </c>
      <c r="I172">
        <v>255.9</v>
      </c>
      <c r="J172">
        <v>3544.77</v>
      </c>
      <c r="K172" t="s">
        <v>28</v>
      </c>
      <c r="L172" t="s">
        <v>22</v>
      </c>
      <c r="M172">
        <v>255.84</v>
      </c>
      <c r="N172">
        <v>447.51</v>
      </c>
      <c r="O172" t="s">
        <v>70</v>
      </c>
      <c r="P172">
        <v>22.33</v>
      </c>
      <c r="Q172" t="str">
        <f t="shared" si="16"/>
        <v>2014-12</v>
      </c>
      <c r="R172">
        <f t="shared" si="17"/>
        <v>1434.5197385726715</v>
      </c>
      <c r="S172">
        <f t="shared" si="18"/>
        <v>5.6070971645273273</v>
      </c>
      <c r="T172" t="str">
        <f t="shared" si="19"/>
        <v>West Bengal</v>
      </c>
      <c r="U172" t="str">
        <f t="shared" si="20"/>
        <v>Kolkata</v>
      </c>
      <c r="V172" t="str">
        <f t="shared" si="21"/>
        <v>Cotton</v>
      </c>
      <c r="W172" t="str">
        <f t="shared" si="22"/>
        <v>Urea</v>
      </c>
      <c r="X172" t="str">
        <f t="shared" si="23"/>
        <v>Cash</v>
      </c>
    </row>
    <row r="173" spans="1:24" x14ac:dyDescent="0.25">
      <c r="A173" t="s">
        <v>238</v>
      </c>
      <c r="B173" s="1">
        <v>42463</v>
      </c>
      <c r="C173">
        <v>2016</v>
      </c>
      <c r="D173" t="s">
        <v>25</v>
      </c>
      <c r="E173" t="s">
        <v>69</v>
      </c>
      <c r="F173" t="s">
        <v>19</v>
      </c>
      <c r="G173" t="s">
        <v>64</v>
      </c>
      <c r="H173">
        <v>24.83</v>
      </c>
      <c r="I173">
        <v>34.86</v>
      </c>
      <c r="J173">
        <v>1403.75</v>
      </c>
      <c r="K173" t="s">
        <v>21</v>
      </c>
      <c r="L173" t="s">
        <v>29</v>
      </c>
      <c r="M173">
        <v>161.61000000000001</v>
      </c>
      <c r="N173">
        <v>872.02</v>
      </c>
      <c r="O173" t="s">
        <v>23</v>
      </c>
      <c r="P173">
        <v>23.67</v>
      </c>
      <c r="Q173" t="str">
        <f t="shared" si="16"/>
        <v>2016-04</v>
      </c>
      <c r="R173">
        <f t="shared" si="17"/>
        <v>568.07834726128567</v>
      </c>
      <c r="S173">
        <f t="shared" si="18"/>
        <v>3.5151187875829812</v>
      </c>
      <c r="T173" t="str">
        <f t="shared" si="19"/>
        <v>Punjab</v>
      </c>
      <c r="U173" t="str">
        <f t="shared" si="20"/>
        <v>Patiala</v>
      </c>
      <c r="V173" t="str">
        <f t="shared" si="21"/>
        <v>Wheat</v>
      </c>
      <c r="W173" t="str">
        <f t="shared" si="22"/>
        <v>Compost</v>
      </c>
      <c r="X173" t="str">
        <f t="shared" si="23"/>
        <v>Food</v>
      </c>
    </row>
    <row r="174" spans="1:24" x14ac:dyDescent="0.25">
      <c r="A174" t="s">
        <v>239</v>
      </c>
      <c r="B174" s="1">
        <v>43334</v>
      </c>
      <c r="C174">
        <v>2018</v>
      </c>
      <c r="D174" t="s">
        <v>36</v>
      </c>
      <c r="E174" t="s">
        <v>37</v>
      </c>
      <c r="F174" t="s">
        <v>33</v>
      </c>
      <c r="G174" t="s">
        <v>64</v>
      </c>
      <c r="H174">
        <v>14.87</v>
      </c>
      <c r="I174">
        <v>103.51</v>
      </c>
      <c r="J174">
        <v>6960.9</v>
      </c>
      <c r="K174" t="s">
        <v>40</v>
      </c>
      <c r="L174" t="s">
        <v>41</v>
      </c>
      <c r="M174">
        <v>253.95</v>
      </c>
      <c r="N174">
        <v>931.52</v>
      </c>
      <c r="O174" t="s">
        <v>70</v>
      </c>
      <c r="P174">
        <v>28.66</v>
      </c>
      <c r="Q174" t="str">
        <f t="shared" si="16"/>
        <v>2018-08</v>
      </c>
      <c r="R174">
        <f t="shared" si="17"/>
        <v>2816.9806357621251</v>
      </c>
      <c r="S174">
        <f t="shared" si="18"/>
        <v>11.092658538145796</v>
      </c>
      <c r="T174" t="str">
        <f t="shared" si="19"/>
        <v>Karnataka</v>
      </c>
      <c r="U174" t="str">
        <f t="shared" si="20"/>
        <v>Bangalore</v>
      </c>
      <c r="V174" t="str">
        <f t="shared" si="21"/>
        <v>Wheat</v>
      </c>
      <c r="W174" t="str">
        <f t="shared" si="22"/>
        <v>Dap</v>
      </c>
      <c r="X174" t="str">
        <f t="shared" si="23"/>
        <v>Food</v>
      </c>
    </row>
    <row r="175" spans="1:24" x14ac:dyDescent="0.25">
      <c r="A175" t="s">
        <v>240</v>
      </c>
      <c r="B175" s="1">
        <v>43944</v>
      </c>
      <c r="C175">
        <v>2020</v>
      </c>
      <c r="D175" t="s">
        <v>31</v>
      </c>
      <c r="E175" t="s">
        <v>82</v>
      </c>
      <c r="F175" t="s">
        <v>19</v>
      </c>
      <c r="G175" t="s">
        <v>56</v>
      </c>
      <c r="H175">
        <v>41.94</v>
      </c>
      <c r="I175">
        <v>111.18</v>
      </c>
      <c r="J175">
        <v>2650.92</v>
      </c>
      <c r="K175" t="s">
        <v>40</v>
      </c>
      <c r="L175" t="s">
        <v>29</v>
      </c>
      <c r="M175">
        <v>206.5</v>
      </c>
      <c r="N175">
        <v>627.20000000000005</v>
      </c>
      <c r="O175" t="s">
        <v>52</v>
      </c>
      <c r="P175">
        <v>20.7</v>
      </c>
      <c r="Q175" t="str">
        <f t="shared" si="16"/>
        <v>2020-04</v>
      </c>
      <c r="R175">
        <f t="shared" si="17"/>
        <v>1072.7909188401693</v>
      </c>
      <c r="S175">
        <f t="shared" si="18"/>
        <v>5.1951134084269697</v>
      </c>
      <c r="T175" t="str">
        <f t="shared" si="19"/>
        <v>Maharashtra</v>
      </c>
      <c r="U175" t="str">
        <f t="shared" si="20"/>
        <v>Nagpur</v>
      </c>
      <c r="V175" t="str">
        <f t="shared" si="21"/>
        <v>Rice</v>
      </c>
      <c r="W175" t="str">
        <f t="shared" si="22"/>
        <v>Compost</v>
      </c>
      <c r="X175" t="str">
        <f t="shared" si="23"/>
        <v>Food</v>
      </c>
    </row>
    <row r="176" spans="1:24" x14ac:dyDescent="0.25">
      <c r="A176" t="s">
        <v>241</v>
      </c>
      <c r="B176" s="1">
        <v>42140</v>
      </c>
      <c r="C176">
        <v>2015</v>
      </c>
      <c r="D176" t="s">
        <v>44</v>
      </c>
      <c r="E176" t="s">
        <v>67</v>
      </c>
      <c r="F176" t="s">
        <v>19</v>
      </c>
      <c r="G176" t="s">
        <v>46</v>
      </c>
      <c r="H176">
        <v>41.42</v>
      </c>
      <c r="I176">
        <v>115.95</v>
      </c>
      <c r="J176">
        <v>2799.33</v>
      </c>
      <c r="K176" t="s">
        <v>40</v>
      </c>
      <c r="L176" t="s">
        <v>41</v>
      </c>
      <c r="M176">
        <v>238.6</v>
      </c>
      <c r="N176">
        <v>673.52</v>
      </c>
      <c r="O176" t="s">
        <v>42</v>
      </c>
      <c r="P176">
        <v>24.51</v>
      </c>
      <c r="Q176" t="str">
        <f t="shared" si="16"/>
        <v>2015-05</v>
      </c>
      <c r="R176">
        <f t="shared" si="17"/>
        <v>1132.8504077214141</v>
      </c>
      <c r="S176">
        <f t="shared" si="18"/>
        <v>4.7479061513889942</v>
      </c>
      <c r="T176" t="str">
        <f t="shared" si="19"/>
        <v>West Bengal</v>
      </c>
      <c r="U176" t="str">
        <f t="shared" si="20"/>
        <v>Darjeeling</v>
      </c>
      <c r="V176" t="str">
        <f t="shared" si="21"/>
        <v>Sugarcane</v>
      </c>
      <c r="W176" t="str">
        <f t="shared" si="22"/>
        <v>Dap</v>
      </c>
      <c r="X176" t="str">
        <f t="shared" si="23"/>
        <v>Cash</v>
      </c>
    </row>
    <row r="177" spans="1:24" x14ac:dyDescent="0.25">
      <c r="A177" t="s">
        <v>242</v>
      </c>
      <c r="B177" s="1">
        <v>40328</v>
      </c>
      <c r="C177">
        <v>2010</v>
      </c>
      <c r="D177" t="s">
        <v>44</v>
      </c>
      <c r="E177" t="s">
        <v>99</v>
      </c>
      <c r="F177" t="s">
        <v>19</v>
      </c>
      <c r="G177" t="s">
        <v>46</v>
      </c>
      <c r="H177">
        <v>96.81</v>
      </c>
      <c r="I177">
        <v>420.52</v>
      </c>
      <c r="J177">
        <v>4343.72</v>
      </c>
      <c r="K177" t="s">
        <v>40</v>
      </c>
      <c r="L177" t="s">
        <v>29</v>
      </c>
      <c r="M177">
        <v>147.1</v>
      </c>
      <c r="N177">
        <v>455</v>
      </c>
      <c r="O177" t="s">
        <v>70</v>
      </c>
      <c r="P177">
        <v>29.7</v>
      </c>
      <c r="Q177" t="str">
        <f t="shared" si="16"/>
        <v>2010-05</v>
      </c>
      <c r="R177">
        <f t="shared" si="17"/>
        <v>1757.8438315695757</v>
      </c>
      <c r="S177">
        <f t="shared" si="18"/>
        <v>11.949992056897184</v>
      </c>
      <c r="T177" t="str">
        <f t="shared" si="19"/>
        <v>West Bengal</v>
      </c>
      <c r="U177" t="str">
        <f t="shared" si="20"/>
        <v>Howrah</v>
      </c>
      <c r="V177" t="str">
        <f t="shared" si="21"/>
        <v>Sugarcane</v>
      </c>
      <c r="W177" t="str">
        <f t="shared" si="22"/>
        <v>Compost</v>
      </c>
      <c r="X177" t="str">
        <f t="shared" si="23"/>
        <v>Cash</v>
      </c>
    </row>
    <row r="178" spans="1:24" x14ac:dyDescent="0.25">
      <c r="A178" t="s">
        <v>243</v>
      </c>
      <c r="B178" s="1">
        <v>40682</v>
      </c>
      <c r="C178">
        <v>2011</v>
      </c>
      <c r="D178" t="s">
        <v>44</v>
      </c>
      <c r="E178" t="s">
        <v>99</v>
      </c>
      <c r="F178" t="s">
        <v>19</v>
      </c>
      <c r="G178" t="s">
        <v>39</v>
      </c>
      <c r="H178">
        <v>83.11</v>
      </c>
      <c r="I178">
        <v>108.81</v>
      </c>
      <c r="J178">
        <v>1309.22</v>
      </c>
      <c r="K178" t="s">
        <v>28</v>
      </c>
      <c r="L178" t="s">
        <v>47</v>
      </c>
      <c r="M178">
        <v>218.42</v>
      </c>
      <c r="N178">
        <v>802.92</v>
      </c>
      <c r="O178" t="s">
        <v>23</v>
      </c>
      <c r="P178">
        <v>22.82</v>
      </c>
      <c r="Q178" t="str">
        <f t="shared" si="16"/>
        <v>2011-05</v>
      </c>
      <c r="R178">
        <f t="shared" si="17"/>
        <v>529.82335444446699</v>
      </c>
      <c r="S178">
        <f t="shared" si="18"/>
        <v>2.425708975572141</v>
      </c>
      <c r="T178" t="str">
        <f t="shared" si="19"/>
        <v>West Bengal</v>
      </c>
      <c r="U178" t="str">
        <f t="shared" si="20"/>
        <v>Howrah</v>
      </c>
      <c r="V178" t="str">
        <f t="shared" si="21"/>
        <v>Cotton</v>
      </c>
      <c r="W178" t="str">
        <f t="shared" si="22"/>
        <v>Vermicompost</v>
      </c>
      <c r="X178" t="str">
        <f t="shared" si="23"/>
        <v>Cash</v>
      </c>
    </row>
    <row r="179" spans="1:24" x14ac:dyDescent="0.25">
      <c r="A179" t="s">
        <v>244</v>
      </c>
      <c r="B179" s="1">
        <v>43282</v>
      </c>
      <c r="C179">
        <v>2018</v>
      </c>
      <c r="D179" t="s">
        <v>17</v>
      </c>
      <c r="E179" t="s">
        <v>54</v>
      </c>
      <c r="F179" t="s">
        <v>33</v>
      </c>
      <c r="G179" t="s">
        <v>46</v>
      </c>
      <c r="H179">
        <v>21.68</v>
      </c>
      <c r="I179">
        <v>139.66999999999999</v>
      </c>
      <c r="J179">
        <v>6442.2</v>
      </c>
      <c r="K179" t="s">
        <v>34</v>
      </c>
      <c r="L179" t="s">
        <v>29</v>
      </c>
      <c r="M179">
        <v>289.25</v>
      </c>
      <c r="N179">
        <v>215.33</v>
      </c>
      <c r="O179" t="s">
        <v>42</v>
      </c>
      <c r="P179">
        <v>34.43</v>
      </c>
      <c r="Q179" t="str">
        <f t="shared" si="16"/>
        <v>2018-07</v>
      </c>
      <c r="R179">
        <f t="shared" si="17"/>
        <v>2607.0698690839927</v>
      </c>
      <c r="S179">
        <f t="shared" si="18"/>
        <v>9.0132061161071491</v>
      </c>
      <c r="T179" t="str">
        <f t="shared" si="19"/>
        <v>Uttar Pradesh</v>
      </c>
      <c r="U179" t="str">
        <f t="shared" si="20"/>
        <v>Varanasi</v>
      </c>
      <c r="V179" t="str">
        <f t="shared" si="21"/>
        <v>Sugarcane</v>
      </c>
      <c r="W179" t="str">
        <f t="shared" si="22"/>
        <v>Compost</v>
      </c>
      <c r="X179" t="str">
        <f t="shared" si="23"/>
        <v>Cash</v>
      </c>
    </row>
    <row r="180" spans="1:24" x14ac:dyDescent="0.25">
      <c r="A180" t="s">
        <v>245</v>
      </c>
      <c r="B180" s="1">
        <v>43575</v>
      </c>
      <c r="C180">
        <v>2019</v>
      </c>
      <c r="D180" t="s">
        <v>103</v>
      </c>
      <c r="E180" t="s">
        <v>228</v>
      </c>
      <c r="F180" t="s">
        <v>19</v>
      </c>
      <c r="G180" t="s">
        <v>56</v>
      </c>
      <c r="H180">
        <v>40.270000000000003</v>
      </c>
      <c r="I180">
        <v>98.1</v>
      </c>
      <c r="J180">
        <v>2435.9899999999998</v>
      </c>
      <c r="K180" t="s">
        <v>34</v>
      </c>
      <c r="L180" t="s">
        <v>49</v>
      </c>
      <c r="M180">
        <v>243.88</v>
      </c>
      <c r="N180">
        <v>580.66</v>
      </c>
      <c r="O180" t="s">
        <v>61</v>
      </c>
      <c r="P180">
        <v>29.73</v>
      </c>
      <c r="Q180" t="str">
        <f t="shared" si="16"/>
        <v>2019-04</v>
      </c>
      <c r="R180">
        <f t="shared" si="17"/>
        <v>985.81169947997807</v>
      </c>
      <c r="S180">
        <f t="shared" si="18"/>
        <v>4.0421998502541339</v>
      </c>
      <c r="T180" t="str">
        <f t="shared" si="19"/>
        <v>Haryana</v>
      </c>
      <c r="U180" t="str">
        <f t="shared" si="20"/>
        <v>Hisar</v>
      </c>
      <c r="V180" t="str">
        <f t="shared" si="21"/>
        <v>Rice</v>
      </c>
      <c r="W180" t="str">
        <f t="shared" si="22"/>
        <v>Npk</v>
      </c>
      <c r="X180" t="str">
        <f t="shared" si="23"/>
        <v>Food</v>
      </c>
    </row>
    <row r="181" spans="1:24" x14ac:dyDescent="0.25">
      <c r="A181" t="s">
        <v>246</v>
      </c>
      <c r="B181" s="1">
        <v>43096</v>
      </c>
      <c r="C181">
        <v>2017</v>
      </c>
      <c r="D181" t="s">
        <v>31</v>
      </c>
      <c r="E181" t="s">
        <v>117</v>
      </c>
      <c r="F181" t="s">
        <v>38</v>
      </c>
      <c r="G181" t="s">
        <v>64</v>
      </c>
      <c r="H181">
        <v>80.48</v>
      </c>
      <c r="I181">
        <v>429.32</v>
      </c>
      <c r="J181">
        <v>5334.48</v>
      </c>
      <c r="K181" t="s">
        <v>34</v>
      </c>
      <c r="L181" t="s">
        <v>41</v>
      </c>
      <c r="M181">
        <v>278.58</v>
      </c>
      <c r="N181">
        <v>570.70000000000005</v>
      </c>
      <c r="O181" t="s">
        <v>52</v>
      </c>
      <c r="P181">
        <v>20.69</v>
      </c>
      <c r="Q181" t="str">
        <f t="shared" si="16"/>
        <v>2017-12</v>
      </c>
      <c r="R181">
        <f t="shared" si="17"/>
        <v>2158.7907974342888</v>
      </c>
      <c r="S181">
        <f t="shared" si="18"/>
        <v>7.7492669877029545</v>
      </c>
      <c r="T181" t="str">
        <f t="shared" si="19"/>
        <v>Maharashtra</v>
      </c>
      <c r="U181" t="str">
        <f t="shared" si="20"/>
        <v>Mumbai</v>
      </c>
      <c r="V181" t="str">
        <f t="shared" si="21"/>
        <v>Wheat</v>
      </c>
      <c r="W181" t="str">
        <f t="shared" si="22"/>
        <v>Dap</v>
      </c>
      <c r="X181" t="str">
        <f t="shared" si="23"/>
        <v>Food</v>
      </c>
    </row>
    <row r="182" spans="1:24" x14ac:dyDescent="0.25">
      <c r="A182" t="s">
        <v>247</v>
      </c>
      <c r="B182" s="1">
        <v>43232</v>
      </c>
      <c r="C182">
        <v>2018</v>
      </c>
      <c r="D182" t="s">
        <v>25</v>
      </c>
      <c r="E182" t="s">
        <v>87</v>
      </c>
      <c r="F182" t="s">
        <v>19</v>
      </c>
      <c r="G182" t="s">
        <v>27</v>
      </c>
      <c r="H182">
        <v>72.28</v>
      </c>
      <c r="I182">
        <v>200.3</v>
      </c>
      <c r="J182">
        <v>2771.15</v>
      </c>
      <c r="K182" t="s">
        <v>40</v>
      </c>
      <c r="L182" t="s">
        <v>49</v>
      </c>
      <c r="M182">
        <v>132.47</v>
      </c>
      <c r="N182">
        <v>579.84</v>
      </c>
      <c r="O182" t="s">
        <v>42</v>
      </c>
      <c r="P182">
        <v>27.49</v>
      </c>
      <c r="Q182" t="str">
        <f t="shared" si="16"/>
        <v>2018-05</v>
      </c>
      <c r="R182">
        <f t="shared" si="17"/>
        <v>1121.4463487181563</v>
      </c>
      <c r="S182">
        <f t="shared" si="18"/>
        <v>8.4656627818989687</v>
      </c>
      <c r="T182" t="str">
        <f t="shared" si="19"/>
        <v>Punjab</v>
      </c>
      <c r="U182" t="str">
        <f t="shared" si="20"/>
        <v>Amritsar</v>
      </c>
      <c r="V182" t="str">
        <f t="shared" si="21"/>
        <v>Pulses</v>
      </c>
      <c r="W182" t="str">
        <f t="shared" si="22"/>
        <v>Npk</v>
      </c>
      <c r="X182" t="str">
        <f t="shared" si="23"/>
        <v>Food</v>
      </c>
    </row>
    <row r="183" spans="1:24" x14ac:dyDescent="0.25">
      <c r="A183" t="s">
        <v>248</v>
      </c>
      <c r="B183" s="1">
        <v>44343</v>
      </c>
      <c r="C183">
        <v>2021</v>
      </c>
      <c r="D183" t="s">
        <v>31</v>
      </c>
      <c r="E183" t="s">
        <v>32</v>
      </c>
      <c r="F183" t="s">
        <v>19</v>
      </c>
      <c r="G183" t="s">
        <v>39</v>
      </c>
      <c r="H183">
        <v>49.57</v>
      </c>
      <c r="I183">
        <v>99.61</v>
      </c>
      <c r="J183">
        <v>2009.4</v>
      </c>
      <c r="K183" t="s">
        <v>34</v>
      </c>
      <c r="L183" t="s">
        <v>47</v>
      </c>
      <c r="M183">
        <v>92.32</v>
      </c>
      <c r="N183">
        <v>920.31</v>
      </c>
      <c r="O183" t="s">
        <v>52</v>
      </c>
      <c r="P183">
        <v>22.76</v>
      </c>
      <c r="Q183" t="str">
        <f t="shared" si="16"/>
        <v>2021-05</v>
      </c>
      <c r="R183">
        <f t="shared" si="17"/>
        <v>813.17658485259312</v>
      </c>
      <c r="S183">
        <f t="shared" si="18"/>
        <v>8.8082385707603255</v>
      </c>
      <c r="T183" t="str">
        <f t="shared" si="19"/>
        <v>Maharashtra</v>
      </c>
      <c r="U183" t="str">
        <f t="shared" si="20"/>
        <v>Pune</v>
      </c>
      <c r="V183" t="str">
        <f t="shared" si="21"/>
        <v>Cotton</v>
      </c>
      <c r="W183" t="str">
        <f t="shared" si="22"/>
        <v>Vermicompost</v>
      </c>
      <c r="X183" t="str">
        <f t="shared" si="23"/>
        <v>Cash</v>
      </c>
    </row>
    <row r="184" spans="1:24" x14ac:dyDescent="0.25">
      <c r="A184" t="s">
        <v>249</v>
      </c>
      <c r="B184" s="1">
        <v>43290</v>
      </c>
      <c r="C184">
        <v>2018</v>
      </c>
      <c r="D184" t="s">
        <v>17</v>
      </c>
      <c r="E184" t="s">
        <v>18</v>
      </c>
      <c r="F184" t="s">
        <v>33</v>
      </c>
      <c r="G184" t="s">
        <v>64</v>
      </c>
      <c r="H184">
        <v>94.57</v>
      </c>
      <c r="I184">
        <v>473.73</v>
      </c>
      <c r="J184">
        <v>5009.29</v>
      </c>
      <c r="K184" t="s">
        <v>21</v>
      </c>
      <c r="L184" t="s">
        <v>22</v>
      </c>
      <c r="M184">
        <v>153.1</v>
      </c>
      <c r="N184">
        <v>1042.54</v>
      </c>
      <c r="O184" t="s">
        <v>42</v>
      </c>
      <c r="P184">
        <v>21.02</v>
      </c>
      <c r="Q184" t="str">
        <f t="shared" si="16"/>
        <v>2018-07</v>
      </c>
      <c r="R184">
        <f t="shared" si="17"/>
        <v>2027.1908702778171</v>
      </c>
      <c r="S184">
        <f t="shared" si="18"/>
        <v>13.240959309456677</v>
      </c>
      <c r="T184" t="str">
        <f t="shared" si="19"/>
        <v>Uttar Pradesh</v>
      </c>
      <c r="U184" t="str">
        <f t="shared" si="20"/>
        <v>Lucknow</v>
      </c>
      <c r="V184" t="str">
        <f t="shared" si="21"/>
        <v>Wheat</v>
      </c>
      <c r="W184" t="str">
        <f t="shared" si="22"/>
        <v>Urea</v>
      </c>
      <c r="X184" t="str">
        <f t="shared" si="23"/>
        <v>Food</v>
      </c>
    </row>
    <row r="185" spans="1:24" x14ac:dyDescent="0.25">
      <c r="A185" t="s">
        <v>250</v>
      </c>
      <c r="B185" s="1">
        <v>43043</v>
      </c>
      <c r="C185">
        <v>2017</v>
      </c>
      <c r="D185" t="s">
        <v>103</v>
      </c>
      <c r="E185" t="s">
        <v>228</v>
      </c>
      <c r="F185" t="s">
        <v>38</v>
      </c>
      <c r="G185" t="s">
        <v>64</v>
      </c>
      <c r="H185">
        <v>62.17</v>
      </c>
      <c r="I185">
        <v>310.88</v>
      </c>
      <c r="J185">
        <v>5000.53</v>
      </c>
      <c r="K185" t="s">
        <v>28</v>
      </c>
      <c r="L185" t="s">
        <v>22</v>
      </c>
      <c r="M185">
        <v>214.82</v>
      </c>
      <c r="N185">
        <v>215.73</v>
      </c>
      <c r="O185" t="s">
        <v>61</v>
      </c>
      <c r="P185">
        <v>28.27</v>
      </c>
      <c r="Q185" t="str">
        <f t="shared" si="16"/>
        <v>2017-11</v>
      </c>
      <c r="R185">
        <f t="shared" si="17"/>
        <v>2023.6458185791464</v>
      </c>
      <c r="S185">
        <f t="shared" si="18"/>
        <v>9.420192805973123</v>
      </c>
      <c r="T185" t="str">
        <f t="shared" si="19"/>
        <v>Haryana</v>
      </c>
      <c r="U185" t="str">
        <f t="shared" si="20"/>
        <v>Hisar</v>
      </c>
      <c r="V185" t="str">
        <f t="shared" si="21"/>
        <v>Wheat</v>
      </c>
      <c r="W185" t="str">
        <f t="shared" si="22"/>
        <v>Urea</v>
      </c>
      <c r="X185" t="str">
        <f t="shared" si="23"/>
        <v>Food</v>
      </c>
    </row>
    <row r="186" spans="1:24" x14ac:dyDescent="0.25">
      <c r="A186" t="s">
        <v>251</v>
      </c>
      <c r="B186" s="1">
        <v>41763</v>
      </c>
      <c r="C186">
        <v>2014</v>
      </c>
      <c r="D186" t="s">
        <v>59</v>
      </c>
      <c r="E186" t="s">
        <v>93</v>
      </c>
      <c r="F186" t="s">
        <v>19</v>
      </c>
      <c r="G186" t="s">
        <v>20</v>
      </c>
      <c r="H186">
        <v>2.7</v>
      </c>
      <c r="I186">
        <v>15.87</v>
      </c>
      <c r="J186">
        <v>5878.94</v>
      </c>
      <c r="K186" t="s">
        <v>28</v>
      </c>
      <c r="L186" t="s">
        <v>41</v>
      </c>
      <c r="M186">
        <v>251.54</v>
      </c>
      <c r="N186">
        <v>1109.77</v>
      </c>
      <c r="O186" t="s">
        <v>23</v>
      </c>
      <c r="P186">
        <v>33.770000000000003</v>
      </c>
      <c r="Q186" t="str">
        <f t="shared" si="16"/>
        <v>2014-05</v>
      </c>
      <c r="R186">
        <f t="shared" si="17"/>
        <v>2379.1262823496081</v>
      </c>
      <c r="S186">
        <f t="shared" si="18"/>
        <v>9.4582423564825007</v>
      </c>
      <c r="T186" t="str">
        <f t="shared" si="19"/>
        <v>Bihar</v>
      </c>
      <c r="U186" t="str">
        <f t="shared" si="20"/>
        <v>Bhagalpur</v>
      </c>
      <c r="V186" t="str">
        <f t="shared" si="21"/>
        <v>Maize</v>
      </c>
      <c r="W186" t="str">
        <f t="shared" si="22"/>
        <v>Dap</v>
      </c>
      <c r="X186" t="str">
        <f t="shared" si="23"/>
        <v>Food</v>
      </c>
    </row>
    <row r="187" spans="1:24" x14ac:dyDescent="0.25">
      <c r="A187" t="s">
        <v>252</v>
      </c>
      <c r="B187" s="1">
        <v>43600</v>
      </c>
      <c r="C187">
        <v>2019</v>
      </c>
      <c r="D187" t="s">
        <v>103</v>
      </c>
      <c r="E187" t="s">
        <v>104</v>
      </c>
      <c r="F187" t="s">
        <v>19</v>
      </c>
      <c r="G187" t="s">
        <v>20</v>
      </c>
      <c r="H187">
        <v>81.709999999999994</v>
      </c>
      <c r="I187">
        <v>212.77</v>
      </c>
      <c r="J187">
        <v>2603.9499999999998</v>
      </c>
      <c r="K187" t="s">
        <v>28</v>
      </c>
      <c r="L187" t="s">
        <v>41</v>
      </c>
      <c r="M187">
        <v>69.75</v>
      </c>
      <c r="N187">
        <v>1159.3</v>
      </c>
      <c r="O187" t="s">
        <v>52</v>
      </c>
      <c r="P187">
        <v>28.48</v>
      </c>
      <c r="Q187" t="str">
        <f t="shared" si="16"/>
        <v>2019-05</v>
      </c>
      <c r="R187">
        <f t="shared" si="17"/>
        <v>1053.7828048805163</v>
      </c>
      <c r="S187">
        <f t="shared" si="18"/>
        <v>15.107997202588047</v>
      </c>
      <c r="T187" t="str">
        <f t="shared" si="19"/>
        <v>Haryana</v>
      </c>
      <c r="U187" t="str">
        <f t="shared" si="20"/>
        <v>Gurgaon</v>
      </c>
      <c r="V187" t="str">
        <f t="shared" si="21"/>
        <v>Maize</v>
      </c>
      <c r="W187" t="str">
        <f t="shared" si="22"/>
        <v>Dap</v>
      </c>
      <c r="X187" t="str">
        <f t="shared" si="23"/>
        <v>Food</v>
      </c>
    </row>
    <row r="188" spans="1:24" x14ac:dyDescent="0.25">
      <c r="A188" t="s">
        <v>253</v>
      </c>
      <c r="B188" s="1">
        <v>40639</v>
      </c>
      <c r="C188">
        <v>2011</v>
      </c>
      <c r="D188" t="s">
        <v>31</v>
      </c>
      <c r="E188" t="s">
        <v>117</v>
      </c>
      <c r="F188" t="s">
        <v>19</v>
      </c>
      <c r="G188" t="s">
        <v>39</v>
      </c>
      <c r="H188">
        <v>76.2</v>
      </c>
      <c r="I188">
        <v>118.95</v>
      </c>
      <c r="J188">
        <v>1561</v>
      </c>
      <c r="K188" t="s">
        <v>28</v>
      </c>
      <c r="L188" t="s">
        <v>29</v>
      </c>
      <c r="M188">
        <v>144.29</v>
      </c>
      <c r="N188">
        <v>676.01</v>
      </c>
      <c r="O188" t="s">
        <v>23</v>
      </c>
      <c r="P188">
        <v>30.54</v>
      </c>
      <c r="Q188" t="str">
        <f t="shared" si="16"/>
        <v>2011-04</v>
      </c>
      <c r="R188">
        <f t="shared" si="17"/>
        <v>631.71526274255882</v>
      </c>
      <c r="S188">
        <f t="shared" si="18"/>
        <v>4.3780945508528575</v>
      </c>
      <c r="T188" t="str">
        <f t="shared" si="19"/>
        <v>Maharashtra</v>
      </c>
      <c r="U188" t="str">
        <f t="shared" si="20"/>
        <v>Mumbai</v>
      </c>
      <c r="V188" t="str">
        <f t="shared" si="21"/>
        <v>Cotton</v>
      </c>
      <c r="W188" t="str">
        <f t="shared" si="22"/>
        <v>Compost</v>
      </c>
      <c r="X188" t="str">
        <f t="shared" si="23"/>
        <v>Cash</v>
      </c>
    </row>
    <row r="189" spans="1:24" x14ac:dyDescent="0.25">
      <c r="A189" t="s">
        <v>254</v>
      </c>
      <c r="B189" s="1">
        <v>44147</v>
      </c>
      <c r="C189">
        <v>2020</v>
      </c>
      <c r="D189" t="s">
        <v>44</v>
      </c>
      <c r="E189" t="s">
        <v>99</v>
      </c>
      <c r="F189" t="s">
        <v>38</v>
      </c>
      <c r="G189" t="s">
        <v>27</v>
      </c>
      <c r="H189">
        <v>97.76</v>
      </c>
      <c r="I189">
        <v>668.98</v>
      </c>
      <c r="J189">
        <v>6843.04</v>
      </c>
      <c r="K189" t="s">
        <v>21</v>
      </c>
      <c r="L189" t="s">
        <v>22</v>
      </c>
      <c r="M189">
        <v>107.44</v>
      </c>
      <c r="N189">
        <v>1101.27</v>
      </c>
      <c r="O189" t="s">
        <v>61</v>
      </c>
      <c r="P189">
        <v>27.13</v>
      </c>
      <c r="Q189" t="str">
        <f t="shared" si="16"/>
        <v>2020-11</v>
      </c>
      <c r="R189">
        <f t="shared" si="17"/>
        <v>2769.2843123368607</v>
      </c>
      <c r="S189">
        <f t="shared" si="18"/>
        <v>25.775170442450303</v>
      </c>
      <c r="T189" t="str">
        <f t="shared" si="19"/>
        <v>West Bengal</v>
      </c>
      <c r="U189" t="str">
        <f t="shared" si="20"/>
        <v>Howrah</v>
      </c>
      <c r="V189" t="str">
        <f t="shared" si="21"/>
        <v>Pulses</v>
      </c>
      <c r="W189" t="str">
        <f t="shared" si="22"/>
        <v>Urea</v>
      </c>
      <c r="X189" t="str">
        <f t="shared" si="23"/>
        <v>Food</v>
      </c>
    </row>
    <row r="190" spans="1:24" x14ac:dyDescent="0.25">
      <c r="A190" t="s">
        <v>255</v>
      </c>
      <c r="B190" s="1">
        <v>43236</v>
      </c>
      <c r="C190">
        <v>2018</v>
      </c>
      <c r="D190" t="s">
        <v>17</v>
      </c>
      <c r="E190" t="s">
        <v>72</v>
      </c>
      <c r="F190" t="s">
        <v>19</v>
      </c>
      <c r="G190" t="s">
        <v>39</v>
      </c>
      <c r="H190">
        <v>4.26</v>
      </c>
      <c r="I190">
        <v>28</v>
      </c>
      <c r="J190">
        <v>6572.6</v>
      </c>
      <c r="K190" t="s">
        <v>34</v>
      </c>
      <c r="L190" t="s">
        <v>29</v>
      </c>
      <c r="M190">
        <v>53.91</v>
      </c>
      <c r="N190">
        <v>407.16</v>
      </c>
      <c r="O190" t="s">
        <v>42</v>
      </c>
      <c r="P190">
        <v>31.28</v>
      </c>
      <c r="Q190" t="str">
        <f t="shared" si="16"/>
        <v>2018-05</v>
      </c>
      <c r="R190">
        <f t="shared" si="17"/>
        <v>2659.8409582970803</v>
      </c>
      <c r="S190">
        <f t="shared" si="18"/>
        <v>49.338544950789846</v>
      </c>
      <c r="T190" t="str">
        <f t="shared" si="19"/>
        <v>Uttar Pradesh</v>
      </c>
      <c r="U190" t="str">
        <f t="shared" si="20"/>
        <v>Kanpur</v>
      </c>
      <c r="V190" t="str">
        <f t="shared" si="21"/>
        <v>Cotton</v>
      </c>
      <c r="W190" t="str">
        <f t="shared" si="22"/>
        <v>Compost</v>
      </c>
      <c r="X190" t="str">
        <f t="shared" si="23"/>
        <v>Cash</v>
      </c>
    </row>
    <row r="191" spans="1:24" x14ac:dyDescent="0.25">
      <c r="A191" t="s">
        <v>256</v>
      </c>
      <c r="B191" s="1">
        <v>41022</v>
      </c>
      <c r="C191">
        <v>2012</v>
      </c>
      <c r="D191" t="s">
        <v>25</v>
      </c>
      <c r="E191" t="s">
        <v>87</v>
      </c>
      <c r="F191" t="s">
        <v>19</v>
      </c>
      <c r="G191" t="s">
        <v>56</v>
      </c>
      <c r="H191">
        <v>57.1</v>
      </c>
      <c r="I191">
        <v>348.12</v>
      </c>
      <c r="J191">
        <v>6096.65</v>
      </c>
      <c r="K191" t="s">
        <v>34</v>
      </c>
      <c r="L191" t="s">
        <v>22</v>
      </c>
      <c r="M191">
        <v>145.96</v>
      </c>
      <c r="N191">
        <v>939.75</v>
      </c>
      <c r="O191" t="s">
        <v>23</v>
      </c>
      <c r="P191">
        <v>27.51</v>
      </c>
      <c r="Q191" t="str">
        <f t="shared" si="16"/>
        <v>2012-04</v>
      </c>
      <c r="R191">
        <f t="shared" si="17"/>
        <v>2467.2305295319802</v>
      </c>
      <c r="S191">
        <f t="shared" si="18"/>
        <v>16.903470331131679</v>
      </c>
      <c r="T191" t="str">
        <f t="shared" si="19"/>
        <v>Punjab</v>
      </c>
      <c r="U191" t="str">
        <f t="shared" si="20"/>
        <v>Amritsar</v>
      </c>
      <c r="V191" t="str">
        <f t="shared" si="21"/>
        <v>Rice</v>
      </c>
      <c r="W191" t="str">
        <f t="shared" si="22"/>
        <v>Urea</v>
      </c>
      <c r="X191" t="str">
        <f t="shared" si="23"/>
        <v>Food</v>
      </c>
    </row>
    <row r="192" spans="1:24" x14ac:dyDescent="0.25">
      <c r="A192" t="s">
        <v>257</v>
      </c>
      <c r="B192" s="1">
        <v>41541</v>
      </c>
      <c r="C192">
        <v>2013</v>
      </c>
      <c r="D192" t="s">
        <v>25</v>
      </c>
      <c r="E192" t="s">
        <v>87</v>
      </c>
      <c r="F192" t="s">
        <v>33</v>
      </c>
      <c r="G192" t="s">
        <v>20</v>
      </c>
      <c r="H192">
        <v>60.91</v>
      </c>
      <c r="I192">
        <v>285.25</v>
      </c>
      <c r="J192">
        <v>4683.1899999999996</v>
      </c>
      <c r="K192" t="s">
        <v>28</v>
      </c>
      <c r="L192" t="s">
        <v>29</v>
      </c>
      <c r="M192">
        <v>292.23</v>
      </c>
      <c r="N192">
        <v>526.38</v>
      </c>
      <c r="O192" t="s">
        <v>70</v>
      </c>
      <c r="P192">
        <v>31.75</v>
      </c>
      <c r="Q192" t="str">
        <f t="shared" si="16"/>
        <v>2013-09</v>
      </c>
      <c r="R192">
        <f t="shared" si="17"/>
        <v>1895.222678618401</v>
      </c>
      <c r="S192">
        <f t="shared" si="18"/>
        <v>6.4853802779262937</v>
      </c>
      <c r="T192" t="str">
        <f t="shared" si="19"/>
        <v>Punjab</v>
      </c>
      <c r="U192" t="str">
        <f t="shared" si="20"/>
        <v>Amritsar</v>
      </c>
      <c r="V192" t="str">
        <f t="shared" si="21"/>
        <v>Maize</v>
      </c>
      <c r="W192" t="str">
        <f t="shared" si="22"/>
        <v>Compost</v>
      </c>
      <c r="X192" t="str">
        <f t="shared" si="23"/>
        <v>Food</v>
      </c>
    </row>
    <row r="193" spans="1:24" x14ac:dyDescent="0.25">
      <c r="A193" t="s">
        <v>258</v>
      </c>
      <c r="B193" s="1">
        <v>43426</v>
      </c>
      <c r="C193">
        <v>2018</v>
      </c>
      <c r="D193" t="s">
        <v>103</v>
      </c>
      <c r="E193" t="s">
        <v>107</v>
      </c>
      <c r="F193" t="s">
        <v>38</v>
      </c>
      <c r="G193" t="s">
        <v>46</v>
      </c>
      <c r="H193">
        <v>19.39</v>
      </c>
      <c r="I193">
        <v>87.55</v>
      </c>
      <c r="J193">
        <v>4515.25</v>
      </c>
      <c r="K193" t="s">
        <v>28</v>
      </c>
      <c r="L193" t="s">
        <v>49</v>
      </c>
      <c r="M193">
        <v>71.42</v>
      </c>
      <c r="N193">
        <v>818.62</v>
      </c>
      <c r="O193" t="s">
        <v>42</v>
      </c>
      <c r="P193">
        <v>30.7</v>
      </c>
      <c r="Q193" t="str">
        <f t="shared" si="16"/>
        <v>2018-11</v>
      </c>
      <c r="R193">
        <f t="shared" si="17"/>
        <v>1827.2596669432023</v>
      </c>
      <c r="S193">
        <f t="shared" si="18"/>
        <v>25.584705501865056</v>
      </c>
      <c r="T193" t="str">
        <f t="shared" si="19"/>
        <v>Haryana</v>
      </c>
      <c r="U193" t="str">
        <f t="shared" si="20"/>
        <v>Faridabad</v>
      </c>
      <c r="V193" t="str">
        <f t="shared" si="21"/>
        <v>Sugarcane</v>
      </c>
      <c r="W193" t="str">
        <f t="shared" si="22"/>
        <v>Npk</v>
      </c>
      <c r="X193" t="str">
        <f t="shared" si="23"/>
        <v>Cash</v>
      </c>
    </row>
    <row r="194" spans="1:24" x14ac:dyDescent="0.25">
      <c r="A194" t="s">
        <v>259</v>
      </c>
      <c r="B194" s="1">
        <v>44304</v>
      </c>
      <c r="C194">
        <v>2021</v>
      </c>
      <c r="D194" t="s">
        <v>103</v>
      </c>
      <c r="E194" t="s">
        <v>107</v>
      </c>
      <c r="F194" t="s">
        <v>19</v>
      </c>
      <c r="G194" t="s">
        <v>56</v>
      </c>
      <c r="H194">
        <v>74.23</v>
      </c>
      <c r="I194">
        <v>215.27</v>
      </c>
      <c r="J194">
        <v>2900.07</v>
      </c>
      <c r="K194" t="s">
        <v>21</v>
      </c>
      <c r="L194" t="s">
        <v>22</v>
      </c>
      <c r="M194">
        <v>72.88</v>
      </c>
      <c r="N194">
        <v>1142.96</v>
      </c>
      <c r="O194" t="s">
        <v>52</v>
      </c>
      <c r="P194">
        <v>25.4</v>
      </c>
      <c r="Q194" t="str">
        <f t="shared" ref="Q194:Q257" si="24">TEXT(B194,"yyyy-mm")</f>
        <v>2021-04</v>
      </c>
      <c r="R194">
        <f t="shared" ref="R194:R257" si="25">J194/2.47105</f>
        <v>1173.618502256126</v>
      </c>
      <c r="S194">
        <f t="shared" ref="S194:S257" si="26">R194/M194</f>
        <v>16.103437187927089</v>
      </c>
      <c r="T194" t="str">
        <f t="shared" ref="T194:T257" si="27">PROPER(TRIM(D194))</f>
        <v>Haryana</v>
      </c>
      <c r="U194" t="str">
        <f t="shared" ref="U194:U257" si="28">PROPER(TRIM(E194))</f>
        <v>Faridabad</v>
      </c>
      <c r="V194" t="str">
        <f t="shared" ref="V194:V257" si="29">PROPER(TRIM(G194))</f>
        <v>Rice</v>
      </c>
      <c r="W194" t="str">
        <f t="shared" ref="W194:W257" si="30">PROPER(TRIM(L194))</f>
        <v>Urea</v>
      </c>
      <c r="X194" t="str">
        <f t="shared" ref="X194:X257" si="31">IF(OR(V194="Wheat",V194="Rice",V194="Maize",V194="Pulses"),"Food","Cash")</f>
        <v>Food</v>
      </c>
    </row>
    <row r="195" spans="1:24" x14ac:dyDescent="0.25">
      <c r="A195" t="s">
        <v>260</v>
      </c>
      <c r="B195" s="1">
        <v>41297</v>
      </c>
      <c r="C195">
        <v>2012</v>
      </c>
      <c r="D195" t="s">
        <v>103</v>
      </c>
      <c r="E195" t="s">
        <v>104</v>
      </c>
      <c r="F195" t="s">
        <v>38</v>
      </c>
      <c r="G195" t="s">
        <v>46</v>
      </c>
      <c r="H195">
        <v>56.14</v>
      </c>
      <c r="I195">
        <v>228.75</v>
      </c>
      <c r="J195">
        <v>4074.65</v>
      </c>
      <c r="K195" t="s">
        <v>21</v>
      </c>
      <c r="L195" t="s">
        <v>29</v>
      </c>
      <c r="M195">
        <v>56.57</v>
      </c>
      <c r="N195">
        <v>553.91</v>
      </c>
      <c r="O195" t="s">
        <v>23</v>
      </c>
      <c r="P195">
        <v>28.95</v>
      </c>
      <c r="Q195" t="str">
        <f t="shared" si="24"/>
        <v>2013-01</v>
      </c>
      <c r="R195">
        <f t="shared" si="25"/>
        <v>1648.9548977155462</v>
      </c>
      <c r="S195">
        <f t="shared" si="26"/>
        <v>29.148928720444513</v>
      </c>
      <c r="T195" t="str">
        <f t="shared" si="27"/>
        <v>Haryana</v>
      </c>
      <c r="U195" t="str">
        <f t="shared" si="28"/>
        <v>Gurgaon</v>
      </c>
      <c r="V195" t="str">
        <f t="shared" si="29"/>
        <v>Sugarcane</v>
      </c>
      <c r="W195" t="str">
        <f t="shared" si="30"/>
        <v>Compost</v>
      </c>
      <c r="X195" t="str">
        <f t="shared" si="31"/>
        <v>Cash</v>
      </c>
    </row>
    <row r="196" spans="1:24" x14ac:dyDescent="0.25">
      <c r="A196" t="s">
        <v>261</v>
      </c>
      <c r="B196" s="1">
        <v>42743</v>
      </c>
      <c r="C196">
        <v>2016</v>
      </c>
      <c r="D196" t="s">
        <v>25</v>
      </c>
      <c r="E196" t="s">
        <v>87</v>
      </c>
      <c r="F196" t="s">
        <v>38</v>
      </c>
      <c r="G196" t="s">
        <v>64</v>
      </c>
      <c r="H196">
        <v>72.760000000000005</v>
      </c>
      <c r="I196">
        <v>317.02999999999997</v>
      </c>
      <c r="J196">
        <v>4357.22</v>
      </c>
      <c r="K196" t="s">
        <v>40</v>
      </c>
      <c r="L196" t="s">
        <v>49</v>
      </c>
      <c r="M196">
        <v>192.99</v>
      </c>
      <c r="N196">
        <v>369.58</v>
      </c>
      <c r="O196" t="s">
        <v>52</v>
      </c>
      <c r="P196">
        <v>22.54</v>
      </c>
      <c r="Q196" t="str">
        <f t="shared" si="24"/>
        <v>2017-01</v>
      </c>
      <c r="R196">
        <f t="shared" si="25"/>
        <v>1763.3070961736914</v>
      </c>
      <c r="S196">
        <f t="shared" si="26"/>
        <v>9.136779606060891</v>
      </c>
      <c r="T196" t="str">
        <f t="shared" si="27"/>
        <v>Punjab</v>
      </c>
      <c r="U196" t="str">
        <f t="shared" si="28"/>
        <v>Amritsar</v>
      </c>
      <c r="V196" t="str">
        <f t="shared" si="29"/>
        <v>Wheat</v>
      </c>
      <c r="W196" t="str">
        <f t="shared" si="30"/>
        <v>Npk</v>
      </c>
      <c r="X196" t="str">
        <f t="shared" si="31"/>
        <v>Food</v>
      </c>
    </row>
    <row r="197" spans="1:24" x14ac:dyDescent="0.25">
      <c r="A197" t="s">
        <v>262</v>
      </c>
      <c r="B197" s="1">
        <v>41187</v>
      </c>
      <c r="C197">
        <v>2012</v>
      </c>
      <c r="D197" t="s">
        <v>31</v>
      </c>
      <c r="E197" t="s">
        <v>32</v>
      </c>
      <c r="F197" t="s">
        <v>33</v>
      </c>
      <c r="G197" t="s">
        <v>56</v>
      </c>
      <c r="H197">
        <v>44.03</v>
      </c>
      <c r="I197">
        <v>155.28</v>
      </c>
      <c r="J197">
        <v>3526.61</v>
      </c>
      <c r="K197" t="s">
        <v>28</v>
      </c>
      <c r="L197" t="s">
        <v>47</v>
      </c>
      <c r="M197">
        <v>245.67</v>
      </c>
      <c r="N197">
        <v>561.12</v>
      </c>
      <c r="O197" t="s">
        <v>42</v>
      </c>
      <c r="P197">
        <v>30.81</v>
      </c>
      <c r="Q197" t="str">
        <f t="shared" si="24"/>
        <v>2012-10</v>
      </c>
      <c r="R197">
        <f t="shared" si="25"/>
        <v>1427.1706359644686</v>
      </c>
      <c r="S197">
        <f t="shared" si="26"/>
        <v>5.8092996131577674</v>
      </c>
      <c r="T197" t="str">
        <f t="shared" si="27"/>
        <v>Maharashtra</v>
      </c>
      <c r="U197" t="str">
        <f t="shared" si="28"/>
        <v>Pune</v>
      </c>
      <c r="V197" t="str">
        <f t="shared" si="29"/>
        <v>Rice</v>
      </c>
      <c r="W197" t="str">
        <f t="shared" si="30"/>
        <v>Vermicompost</v>
      </c>
      <c r="X197" t="str">
        <f t="shared" si="31"/>
        <v>Food</v>
      </c>
    </row>
    <row r="198" spans="1:24" x14ac:dyDescent="0.25">
      <c r="A198" t="s">
        <v>263</v>
      </c>
      <c r="B198" s="1">
        <v>42997</v>
      </c>
      <c r="C198">
        <v>2017</v>
      </c>
      <c r="D198" t="s">
        <v>59</v>
      </c>
      <c r="E198" t="s">
        <v>60</v>
      </c>
      <c r="F198" t="s">
        <v>33</v>
      </c>
      <c r="G198" t="s">
        <v>56</v>
      </c>
      <c r="H198">
        <v>31.16</v>
      </c>
      <c r="I198">
        <v>208.55</v>
      </c>
      <c r="J198">
        <v>6692.94</v>
      </c>
      <c r="K198" t="s">
        <v>34</v>
      </c>
      <c r="L198" t="s">
        <v>47</v>
      </c>
      <c r="M198">
        <v>260.39999999999998</v>
      </c>
      <c r="N198">
        <v>579.89</v>
      </c>
      <c r="O198" t="s">
        <v>70</v>
      </c>
      <c r="P198">
        <v>26.6</v>
      </c>
      <c r="Q198" t="str">
        <f t="shared" si="24"/>
        <v>2017-09</v>
      </c>
      <c r="R198">
        <f t="shared" si="25"/>
        <v>2708.5409036644342</v>
      </c>
      <c r="S198">
        <f t="shared" si="26"/>
        <v>10.401462763688304</v>
      </c>
      <c r="T198" t="str">
        <f t="shared" si="27"/>
        <v>Bihar</v>
      </c>
      <c r="U198" t="str">
        <f t="shared" si="28"/>
        <v>Patna</v>
      </c>
      <c r="V198" t="str">
        <f t="shared" si="29"/>
        <v>Rice</v>
      </c>
      <c r="W198" t="str">
        <f t="shared" si="30"/>
        <v>Vermicompost</v>
      </c>
      <c r="X198" t="str">
        <f t="shared" si="31"/>
        <v>Food</v>
      </c>
    </row>
    <row r="199" spans="1:24" x14ac:dyDescent="0.25">
      <c r="A199" t="s">
        <v>264</v>
      </c>
      <c r="B199" s="1">
        <v>42145</v>
      </c>
      <c r="C199">
        <v>2015</v>
      </c>
      <c r="D199" t="s">
        <v>103</v>
      </c>
      <c r="E199" t="s">
        <v>107</v>
      </c>
      <c r="F199" t="s">
        <v>19</v>
      </c>
      <c r="G199" t="s">
        <v>39</v>
      </c>
      <c r="H199">
        <v>20.88</v>
      </c>
      <c r="I199">
        <v>60.24</v>
      </c>
      <c r="J199">
        <v>2885.1</v>
      </c>
      <c r="K199" t="s">
        <v>28</v>
      </c>
      <c r="L199" t="s">
        <v>41</v>
      </c>
      <c r="M199">
        <v>292.18</v>
      </c>
      <c r="N199">
        <v>491.45</v>
      </c>
      <c r="O199" t="s">
        <v>52</v>
      </c>
      <c r="P199">
        <v>34.520000000000003</v>
      </c>
      <c r="Q199" t="str">
        <f t="shared" si="24"/>
        <v>2015-05</v>
      </c>
      <c r="R199">
        <f t="shared" si="25"/>
        <v>1167.560348839562</v>
      </c>
      <c r="S199">
        <f t="shared" si="26"/>
        <v>3.9960310385363886</v>
      </c>
      <c r="T199" t="str">
        <f t="shared" si="27"/>
        <v>Haryana</v>
      </c>
      <c r="U199" t="str">
        <f t="shared" si="28"/>
        <v>Faridabad</v>
      </c>
      <c r="V199" t="str">
        <f t="shared" si="29"/>
        <v>Cotton</v>
      </c>
      <c r="W199" t="str">
        <f t="shared" si="30"/>
        <v>Dap</v>
      </c>
      <c r="X199" t="str">
        <f t="shared" si="31"/>
        <v>Cash</v>
      </c>
    </row>
    <row r="200" spans="1:24" x14ac:dyDescent="0.25">
      <c r="A200" t="s">
        <v>265</v>
      </c>
      <c r="B200" s="1">
        <v>41997</v>
      </c>
      <c r="C200">
        <v>2014</v>
      </c>
      <c r="D200" t="s">
        <v>31</v>
      </c>
      <c r="E200" t="s">
        <v>32</v>
      </c>
      <c r="F200" t="s">
        <v>38</v>
      </c>
      <c r="G200" t="s">
        <v>20</v>
      </c>
      <c r="H200">
        <v>12.27</v>
      </c>
      <c r="I200">
        <v>53.78</v>
      </c>
      <c r="J200">
        <v>4383.1000000000004</v>
      </c>
      <c r="K200" t="s">
        <v>40</v>
      </c>
      <c r="L200" t="s">
        <v>29</v>
      </c>
      <c r="M200">
        <v>220.43</v>
      </c>
      <c r="N200">
        <v>750.1</v>
      </c>
      <c r="O200" t="s">
        <v>52</v>
      </c>
      <c r="P200">
        <v>34.14</v>
      </c>
      <c r="Q200" t="str">
        <f t="shared" si="24"/>
        <v>2014-12</v>
      </c>
      <c r="R200">
        <f t="shared" si="25"/>
        <v>1773.7803767629148</v>
      </c>
      <c r="S200">
        <f t="shared" si="26"/>
        <v>8.0469100247829903</v>
      </c>
      <c r="T200" t="str">
        <f t="shared" si="27"/>
        <v>Maharashtra</v>
      </c>
      <c r="U200" t="str">
        <f t="shared" si="28"/>
        <v>Pune</v>
      </c>
      <c r="V200" t="str">
        <f t="shared" si="29"/>
        <v>Maize</v>
      </c>
      <c r="W200" t="str">
        <f t="shared" si="30"/>
        <v>Compost</v>
      </c>
      <c r="X200" t="str">
        <f t="shared" si="31"/>
        <v>Food</v>
      </c>
    </row>
    <row r="201" spans="1:24" x14ac:dyDescent="0.25">
      <c r="A201" t="s">
        <v>266</v>
      </c>
      <c r="B201" s="1">
        <v>44366</v>
      </c>
      <c r="C201">
        <v>2021</v>
      </c>
      <c r="D201" t="s">
        <v>44</v>
      </c>
      <c r="E201" t="s">
        <v>99</v>
      </c>
      <c r="F201" t="s">
        <v>33</v>
      </c>
      <c r="G201" t="s">
        <v>46</v>
      </c>
      <c r="H201">
        <v>67.62</v>
      </c>
      <c r="I201">
        <v>124.09</v>
      </c>
      <c r="J201">
        <v>1835.07</v>
      </c>
      <c r="K201" t="s">
        <v>34</v>
      </c>
      <c r="L201" t="s">
        <v>29</v>
      </c>
      <c r="M201">
        <v>110.51</v>
      </c>
      <c r="N201">
        <v>858.66</v>
      </c>
      <c r="O201" t="s">
        <v>52</v>
      </c>
      <c r="P201">
        <v>31.84</v>
      </c>
      <c r="Q201" t="str">
        <f t="shared" si="24"/>
        <v>2021-06</v>
      </c>
      <c r="R201">
        <f t="shared" si="25"/>
        <v>742.62762793144611</v>
      </c>
      <c r="S201">
        <f t="shared" si="26"/>
        <v>6.7200038723323328</v>
      </c>
      <c r="T201" t="str">
        <f t="shared" si="27"/>
        <v>West Bengal</v>
      </c>
      <c r="U201" t="str">
        <f t="shared" si="28"/>
        <v>Howrah</v>
      </c>
      <c r="V201" t="str">
        <f t="shared" si="29"/>
        <v>Sugarcane</v>
      </c>
      <c r="W201" t="str">
        <f t="shared" si="30"/>
        <v>Compost</v>
      </c>
      <c r="X201" t="str">
        <f t="shared" si="31"/>
        <v>Cash</v>
      </c>
    </row>
    <row r="202" spans="1:24" x14ac:dyDescent="0.25">
      <c r="A202" t="s">
        <v>267</v>
      </c>
      <c r="B202" s="1">
        <v>43907</v>
      </c>
      <c r="C202">
        <v>2019</v>
      </c>
      <c r="D202" t="s">
        <v>59</v>
      </c>
      <c r="E202" t="s">
        <v>63</v>
      </c>
      <c r="F202" t="s">
        <v>38</v>
      </c>
      <c r="G202" t="s">
        <v>27</v>
      </c>
      <c r="H202">
        <v>51.15</v>
      </c>
      <c r="I202">
        <v>333.62</v>
      </c>
      <c r="J202">
        <v>6522.35</v>
      </c>
      <c r="K202" t="s">
        <v>28</v>
      </c>
      <c r="L202" t="s">
        <v>47</v>
      </c>
      <c r="M202">
        <v>185.91</v>
      </c>
      <c r="N202">
        <v>990.72</v>
      </c>
      <c r="O202" t="s">
        <v>70</v>
      </c>
      <c r="P202">
        <v>30.52</v>
      </c>
      <c r="Q202" t="str">
        <f t="shared" si="24"/>
        <v>2020-03</v>
      </c>
      <c r="R202">
        <f t="shared" si="25"/>
        <v>2639.505473381761</v>
      </c>
      <c r="S202">
        <f t="shared" si="26"/>
        <v>14.197759525478785</v>
      </c>
      <c r="T202" t="str">
        <f t="shared" si="27"/>
        <v>Bihar</v>
      </c>
      <c r="U202" t="str">
        <f t="shared" si="28"/>
        <v>Gaya</v>
      </c>
      <c r="V202" t="str">
        <f t="shared" si="29"/>
        <v>Pulses</v>
      </c>
      <c r="W202" t="str">
        <f t="shared" si="30"/>
        <v>Vermicompost</v>
      </c>
      <c r="X202" t="str">
        <f t="shared" si="31"/>
        <v>Food</v>
      </c>
    </row>
    <row r="203" spans="1:24" x14ac:dyDescent="0.25">
      <c r="A203" t="s">
        <v>268</v>
      </c>
      <c r="B203" s="1">
        <v>40779</v>
      </c>
      <c r="C203">
        <v>2011</v>
      </c>
      <c r="D203" t="s">
        <v>17</v>
      </c>
      <c r="E203" t="s">
        <v>18</v>
      </c>
      <c r="F203" t="s">
        <v>33</v>
      </c>
      <c r="G203" t="s">
        <v>39</v>
      </c>
      <c r="H203">
        <v>66.8</v>
      </c>
      <c r="I203">
        <v>133.47</v>
      </c>
      <c r="J203">
        <v>1998.03</v>
      </c>
      <c r="K203" t="s">
        <v>21</v>
      </c>
      <c r="L203" t="s">
        <v>29</v>
      </c>
      <c r="M203">
        <v>190.81</v>
      </c>
      <c r="N203">
        <v>845.03</v>
      </c>
      <c r="O203" t="s">
        <v>52</v>
      </c>
      <c r="P203">
        <v>34.5</v>
      </c>
      <c r="Q203" t="str">
        <f t="shared" si="24"/>
        <v>2011-08</v>
      </c>
      <c r="R203">
        <f t="shared" si="25"/>
        <v>808.57530199712676</v>
      </c>
      <c r="S203">
        <f t="shared" si="26"/>
        <v>4.2375939520838886</v>
      </c>
      <c r="T203" t="str">
        <f t="shared" si="27"/>
        <v>Uttar Pradesh</v>
      </c>
      <c r="U203" t="str">
        <f t="shared" si="28"/>
        <v>Lucknow</v>
      </c>
      <c r="V203" t="str">
        <f t="shared" si="29"/>
        <v>Cotton</v>
      </c>
      <c r="W203" t="str">
        <f t="shared" si="30"/>
        <v>Compost</v>
      </c>
      <c r="X203" t="str">
        <f t="shared" si="31"/>
        <v>Cash</v>
      </c>
    </row>
    <row r="204" spans="1:24" x14ac:dyDescent="0.25">
      <c r="A204" t="s">
        <v>269</v>
      </c>
      <c r="B204" s="1">
        <v>40886</v>
      </c>
      <c r="C204">
        <v>2011</v>
      </c>
      <c r="D204" t="s">
        <v>25</v>
      </c>
      <c r="E204" t="s">
        <v>26</v>
      </c>
      <c r="F204" t="s">
        <v>38</v>
      </c>
      <c r="G204" t="s">
        <v>56</v>
      </c>
      <c r="H204">
        <v>51.56</v>
      </c>
      <c r="I204">
        <v>212.06</v>
      </c>
      <c r="J204">
        <v>4112.79</v>
      </c>
      <c r="K204" t="s">
        <v>40</v>
      </c>
      <c r="L204" t="s">
        <v>49</v>
      </c>
      <c r="M204">
        <v>161.44</v>
      </c>
      <c r="N204">
        <v>591.13</v>
      </c>
      <c r="O204" t="s">
        <v>61</v>
      </c>
      <c r="P204">
        <v>30.36</v>
      </c>
      <c r="Q204" t="str">
        <f t="shared" si="24"/>
        <v>2011-12</v>
      </c>
      <c r="R204">
        <f t="shared" si="25"/>
        <v>1664.3896319378402</v>
      </c>
      <c r="S204">
        <f t="shared" si="26"/>
        <v>10.309648364332508</v>
      </c>
      <c r="T204" t="str">
        <f t="shared" si="27"/>
        <v>Punjab</v>
      </c>
      <c r="U204" t="str">
        <f t="shared" si="28"/>
        <v>Ludhiana</v>
      </c>
      <c r="V204" t="str">
        <f t="shared" si="29"/>
        <v>Rice</v>
      </c>
      <c r="W204" t="str">
        <f t="shared" si="30"/>
        <v>Npk</v>
      </c>
      <c r="X204" t="str">
        <f t="shared" si="31"/>
        <v>Food</v>
      </c>
    </row>
    <row r="205" spans="1:24" x14ac:dyDescent="0.25">
      <c r="A205" t="s">
        <v>270</v>
      </c>
      <c r="B205" s="1">
        <v>40937</v>
      </c>
      <c r="C205">
        <v>2011</v>
      </c>
      <c r="D205" t="s">
        <v>25</v>
      </c>
      <c r="E205" t="s">
        <v>87</v>
      </c>
      <c r="F205" t="s">
        <v>38</v>
      </c>
      <c r="G205" t="s">
        <v>46</v>
      </c>
      <c r="H205">
        <v>92.13</v>
      </c>
      <c r="I205">
        <v>139.59</v>
      </c>
      <c r="J205">
        <v>1515.13</v>
      </c>
      <c r="K205" t="s">
        <v>40</v>
      </c>
      <c r="L205" t="s">
        <v>29</v>
      </c>
      <c r="M205">
        <v>137.08000000000001</v>
      </c>
      <c r="N205">
        <v>543.07000000000005</v>
      </c>
      <c r="O205" t="s">
        <v>42</v>
      </c>
      <c r="P205">
        <v>27.82</v>
      </c>
      <c r="Q205" t="str">
        <f t="shared" si="24"/>
        <v>2012-01</v>
      </c>
      <c r="R205">
        <f t="shared" si="25"/>
        <v>613.15230367657477</v>
      </c>
      <c r="S205">
        <f t="shared" si="26"/>
        <v>4.4729523174538572</v>
      </c>
      <c r="T205" t="str">
        <f t="shared" si="27"/>
        <v>Punjab</v>
      </c>
      <c r="U205" t="str">
        <f t="shared" si="28"/>
        <v>Amritsar</v>
      </c>
      <c r="V205" t="str">
        <f t="shared" si="29"/>
        <v>Sugarcane</v>
      </c>
      <c r="W205" t="str">
        <f t="shared" si="30"/>
        <v>Compost</v>
      </c>
      <c r="X205" t="str">
        <f t="shared" si="31"/>
        <v>Cash</v>
      </c>
    </row>
    <row r="206" spans="1:24" x14ac:dyDescent="0.25">
      <c r="A206" t="s">
        <v>271</v>
      </c>
      <c r="B206" s="1">
        <v>44297</v>
      </c>
      <c r="C206">
        <v>2021</v>
      </c>
      <c r="D206" t="s">
        <v>25</v>
      </c>
      <c r="E206" t="s">
        <v>87</v>
      </c>
      <c r="F206" t="s">
        <v>19</v>
      </c>
      <c r="G206" t="s">
        <v>46</v>
      </c>
      <c r="H206">
        <v>32.57</v>
      </c>
      <c r="I206">
        <v>91.25</v>
      </c>
      <c r="J206">
        <v>2801.58</v>
      </c>
      <c r="K206" t="s">
        <v>21</v>
      </c>
      <c r="L206" t="s">
        <v>41</v>
      </c>
      <c r="M206">
        <v>55.65</v>
      </c>
      <c r="N206">
        <v>543.08000000000004</v>
      </c>
      <c r="O206" t="s">
        <v>23</v>
      </c>
      <c r="P206">
        <v>30.16</v>
      </c>
      <c r="Q206" t="str">
        <f t="shared" si="24"/>
        <v>2021-04</v>
      </c>
      <c r="R206">
        <f t="shared" si="25"/>
        <v>1133.7609518221</v>
      </c>
      <c r="S206">
        <f t="shared" si="26"/>
        <v>20.373062925823898</v>
      </c>
      <c r="T206" t="str">
        <f t="shared" si="27"/>
        <v>Punjab</v>
      </c>
      <c r="U206" t="str">
        <f t="shared" si="28"/>
        <v>Amritsar</v>
      </c>
      <c r="V206" t="str">
        <f t="shared" si="29"/>
        <v>Sugarcane</v>
      </c>
      <c r="W206" t="str">
        <f t="shared" si="30"/>
        <v>Dap</v>
      </c>
      <c r="X206" t="str">
        <f t="shared" si="31"/>
        <v>Cash</v>
      </c>
    </row>
    <row r="207" spans="1:24" x14ac:dyDescent="0.25">
      <c r="A207" t="s">
        <v>272</v>
      </c>
      <c r="B207" s="1">
        <v>43362</v>
      </c>
      <c r="C207">
        <v>2018</v>
      </c>
      <c r="D207" t="s">
        <v>59</v>
      </c>
      <c r="E207" t="s">
        <v>60</v>
      </c>
      <c r="F207" t="s">
        <v>33</v>
      </c>
      <c r="G207" t="s">
        <v>20</v>
      </c>
      <c r="H207">
        <v>56.43</v>
      </c>
      <c r="I207">
        <v>380.95</v>
      </c>
      <c r="J207">
        <v>6750.78</v>
      </c>
      <c r="K207" t="s">
        <v>40</v>
      </c>
      <c r="L207" t="s">
        <v>29</v>
      </c>
      <c r="M207">
        <v>249.44</v>
      </c>
      <c r="N207">
        <v>829.76</v>
      </c>
      <c r="O207" t="s">
        <v>42</v>
      </c>
      <c r="P207">
        <v>29.61</v>
      </c>
      <c r="Q207" t="str">
        <f t="shared" si="24"/>
        <v>2018-09</v>
      </c>
      <c r="R207">
        <f t="shared" si="25"/>
        <v>2731.9479573460676</v>
      </c>
      <c r="S207">
        <f t="shared" si="26"/>
        <v>10.952325037468199</v>
      </c>
      <c r="T207" t="str">
        <f t="shared" si="27"/>
        <v>Bihar</v>
      </c>
      <c r="U207" t="str">
        <f t="shared" si="28"/>
        <v>Patna</v>
      </c>
      <c r="V207" t="str">
        <f t="shared" si="29"/>
        <v>Maize</v>
      </c>
      <c r="W207" t="str">
        <f t="shared" si="30"/>
        <v>Compost</v>
      </c>
      <c r="X207" t="str">
        <f t="shared" si="31"/>
        <v>Food</v>
      </c>
    </row>
    <row r="208" spans="1:24" x14ac:dyDescent="0.25">
      <c r="A208" t="s">
        <v>273</v>
      </c>
      <c r="B208" s="1">
        <v>43754</v>
      </c>
      <c r="C208">
        <v>2019</v>
      </c>
      <c r="D208" t="s">
        <v>25</v>
      </c>
      <c r="E208" t="s">
        <v>69</v>
      </c>
      <c r="F208" t="s">
        <v>33</v>
      </c>
      <c r="G208" t="s">
        <v>46</v>
      </c>
      <c r="H208">
        <v>59.63</v>
      </c>
      <c r="I208">
        <v>198.75</v>
      </c>
      <c r="J208">
        <v>3333.01</v>
      </c>
      <c r="K208" t="s">
        <v>40</v>
      </c>
      <c r="L208" t="s">
        <v>41</v>
      </c>
      <c r="M208">
        <v>101.45</v>
      </c>
      <c r="N208">
        <v>952.33</v>
      </c>
      <c r="O208" t="s">
        <v>23</v>
      </c>
      <c r="P208">
        <v>28.66</v>
      </c>
      <c r="Q208" t="str">
        <f t="shared" si="24"/>
        <v>2019-10</v>
      </c>
      <c r="R208">
        <f t="shared" si="25"/>
        <v>1348.8233746787803</v>
      </c>
      <c r="S208">
        <f t="shared" si="26"/>
        <v>13.295449725764222</v>
      </c>
      <c r="T208" t="str">
        <f t="shared" si="27"/>
        <v>Punjab</v>
      </c>
      <c r="U208" t="str">
        <f t="shared" si="28"/>
        <v>Patiala</v>
      </c>
      <c r="V208" t="str">
        <f t="shared" si="29"/>
        <v>Sugarcane</v>
      </c>
      <c r="W208" t="str">
        <f t="shared" si="30"/>
        <v>Dap</v>
      </c>
      <c r="X208" t="str">
        <f t="shared" si="31"/>
        <v>Cash</v>
      </c>
    </row>
    <row r="209" spans="1:24" x14ac:dyDescent="0.25">
      <c r="A209" t="s">
        <v>274</v>
      </c>
      <c r="B209" s="1">
        <v>41669</v>
      </c>
      <c r="C209">
        <v>2013</v>
      </c>
      <c r="D209" t="s">
        <v>31</v>
      </c>
      <c r="E209" t="s">
        <v>32</v>
      </c>
      <c r="F209" t="s">
        <v>38</v>
      </c>
      <c r="G209" t="s">
        <v>64</v>
      </c>
      <c r="H209">
        <v>26.97</v>
      </c>
      <c r="I209">
        <v>166.56</v>
      </c>
      <c r="J209">
        <v>6175.82</v>
      </c>
      <c r="K209" t="s">
        <v>34</v>
      </c>
      <c r="L209" t="s">
        <v>29</v>
      </c>
      <c r="M209">
        <v>199.24</v>
      </c>
      <c r="N209">
        <v>811.31</v>
      </c>
      <c r="O209" t="s">
        <v>61</v>
      </c>
      <c r="P209">
        <v>21.71</v>
      </c>
      <c r="Q209" t="str">
        <f t="shared" si="24"/>
        <v>2014-01</v>
      </c>
      <c r="R209">
        <f t="shared" si="25"/>
        <v>2499.2695412881162</v>
      </c>
      <c r="S209">
        <f t="shared" si="26"/>
        <v>12.544014963301125</v>
      </c>
      <c r="T209" t="str">
        <f t="shared" si="27"/>
        <v>Maharashtra</v>
      </c>
      <c r="U209" t="str">
        <f t="shared" si="28"/>
        <v>Pune</v>
      </c>
      <c r="V209" t="str">
        <f t="shared" si="29"/>
        <v>Wheat</v>
      </c>
      <c r="W209" t="str">
        <f t="shared" si="30"/>
        <v>Compost</v>
      </c>
      <c r="X209" t="str">
        <f t="shared" si="31"/>
        <v>Food</v>
      </c>
    </row>
    <row r="210" spans="1:24" x14ac:dyDescent="0.25">
      <c r="A210" t="s">
        <v>275</v>
      </c>
      <c r="B210" s="1">
        <v>43966</v>
      </c>
      <c r="C210">
        <v>2020</v>
      </c>
      <c r="D210" t="s">
        <v>59</v>
      </c>
      <c r="E210" t="s">
        <v>60</v>
      </c>
      <c r="F210" t="s">
        <v>19</v>
      </c>
      <c r="G210" t="s">
        <v>20</v>
      </c>
      <c r="H210">
        <v>91.95</v>
      </c>
      <c r="I210">
        <v>417.55</v>
      </c>
      <c r="J210">
        <v>4541.01</v>
      </c>
      <c r="K210" t="s">
        <v>40</v>
      </c>
      <c r="L210" t="s">
        <v>41</v>
      </c>
      <c r="M210">
        <v>128.30000000000001</v>
      </c>
      <c r="N210">
        <v>438.57</v>
      </c>
      <c r="O210" t="s">
        <v>23</v>
      </c>
      <c r="P210">
        <v>22.75</v>
      </c>
      <c r="Q210" t="str">
        <f t="shared" si="24"/>
        <v>2020-05</v>
      </c>
      <c r="R210">
        <f t="shared" si="25"/>
        <v>1837.684385180389</v>
      </c>
      <c r="S210">
        <f t="shared" si="26"/>
        <v>14.323338933596171</v>
      </c>
      <c r="T210" t="str">
        <f t="shared" si="27"/>
        <v>Bihar</v>
      </c>
      <c r="U210" t="str">
        <f t="shared" si="28"/>
        <v>Patna</v>
      </c>
      <c r="V210" t="str">
        <f t="shared" si="29"/>
        <v>Maize</v>
      </c>
      <c r="W210" t="str">
        <f t="shared" si="30"/>
        <v>Dap</v>
      </c>
      <c r="X210" t="str">
        <f t="shared" si="31"/>
        <v>Food</v>
      </c>
    </row>
    <row r="211" spans="1:24" x14ac:dyDescent="0.25">
      <c r="A211" t="s">
        <v>276</v>
      </c>
      <c r="B211" s="1">
        <v>42492</v>
      </c>
      <c r="C211">
        <v>2016</v>
      </c>
      <c r="D211" t="s">
        <v>59</v>
      </c>
      <c r="E211" t="s">
        <v>63</v>
      </c>
      <c r="F211" t="s">
        <v>19</v>
      </c>
      <c r="G211" t="s">
        <v>56</v>
      </c>
      <c r="H211">
        <v>57.91</v>
      </c>
      <c r="I211">
        <v>204.9</v>
      </c>
      <c r="J211">
        <v>3538.23</v>
      </c>
      <c r="K211" t="s">
        <v>28</v>
      </c>
      <c r="L211" t="s">
        <v>49</v>
      </c>
      <c r="M211">
        <v>208.88</v>
      </c>
      <c r="N211">
        <v>893.43</v>
      </c>
      <c r="O211" t="s">
        <v>42</v>
      </c>
      <c r="P211">
        <v>28.32</v>
      </c>
      <c r="Q211" t="str">
        <f t="shared" si="24"/>
        <v>2016-05</v>
      </c>
      <c r="R211">
        <f t="shared" si="25"/>
        <v>1431.8730903866779</v>
      </c>
      <c r="S211">
        <f t="shared" si="26"/>
        <v>6.8550033051832528</v>
      </c>
      <c r="T211" t="str">
        <f t="shared" si="27"/>
        <v>Bihar</v>
      </c>
      <c r="U211" t="str">
        <f t="shared" si="28"/>
        <v>Gaya</v>
      </c>
      <c r="V211" t="str">
        <f t="shared" si="29"/>
        <v>Rice</v>
      </c>
      <c r="W211" t="str">
        <f t="shared" si="30"/>
        <v>Npk</v>
      </c>
      <c r="X211" t="str">
        <f t="shared" si="31"/>
        <v>Food</v>
      </c>
    </row>
    <row r="212" spans="1:24" x14ac:dyDescent="0.25">
      <c r="A212" t="s">
        <v>277</v>
      </c>
      <c r="B212" s="1">
        <v>42438</v>
      </c>
      <c r="C212">
        <v>2015</v>
      </c>
      <c r="D212" t="s">
        <v>103</v>
      </c>
      <c r="E212" t="s">
        <v>104</v>
      </c>
      <c r="F212" t="s">
        <v>38</v>
      </c>
      <c r="G212" t="s">
        <v>27</v>
      </c>
      <c r="H212">
        <v>6.31</v>
      </c>
      <c r="I212">
        <v>19.899999999999999</v>
      </c>
      <c r="J212">
        <v>3154.24</v>
      </c>
      <c r="K212" t="s">
        <v>21</v>
      </c>
      <c r="L212" t="s">
        <v>29</v>
      </c>
      <c r="M212">
        <v>171.15</v>
      </c>
      <c r="N212">
        <v>395.13</v>
      </c>
      <c r="O212" t="s">
        <v>52</v>
      </c>
      <c r="P212">
        <v>34.46</v>
      </c>
      <c r="Q212" t="str">
        <f t="shared" si="24"/>
        <v>2016-03</v>
      </c>
      <c r="R212">
        <f t="shared" si="25"/>
        <v>1276.4776107322798</v>
      </c>
      <c r="S212">
        <f t="shared" si="26"/>
        <v>7.4582390343691483</v>
      </c>
      <c r="T212" t="str">
        <f t="shared" si="27"/>
        <v>Haryana</v>
      </c>
      <c r="U212" t="str">
        <f t="shared" si="28"/>
        <v>Gurgaon</v>
      </c>
      <c r="V212" t="str">
        <f t="shared" si="29"/>
        <v>Pulses</v>
      </c>
      <c r="W212" t="str">
        <f t="shared" si="30"/>
        <v>Compost</v>
      </c>
      <c r="X212" t="str">
        <f t="shared" si="31"/>
        <v>Food</v>
      </c>
    </row>
    <row r="213" spans="1:24" x14ac:dyDescent="0.25">
      <c r="A213" t="s">
        <v>278</v>
      </c>
      <c r="B213" s="1">
        <v>43110</v>
      </c>
      <c r="C213">
        <v>2017</v>
      </c>
      <c r="D213" t="s">
        <v>36</v>
      </c>
      <c r="E213" t="s">
        <v>77</v>
      </c>
      <c r="F213" t="s">
        <v>38</v>
      </c>
      <c r="G213" t="s">
        <v>39</v>
      </c>
      <c r="H213">
        <v>84.15</v>
      </c>
      <c r="I213">
        <v>330.89</v>
      </c>
      <c r="J213">
        <v>3932.2</v>
      </c>
      <c r="K213" t="s">
        <v>21</v>
      </c>
      <c r="L213" t="s">
        <v>41</v>
      </c>
      <c r="M213">
        <v>191.35</v>
      </c>
      <c r="N213">
        <v>995.88</v>
      </c>
      <c r="O213" t="s">
        <v>42</v>
      </c>
      <c r="P213">
        <v>24.38</v>
      </c>
      <c r="Q213" t="str">
        <f t="shared" si="24"/>
        <v>2018-01</v>
      </c>
      <c r="R213">
        <f t="shared" si="25"/>
        <v>1591.3073389854515</v>
      </c>
      <c r="S213">
        <f t="shared" si="26"/>
        <v>8.316212902981194</v>
      </c>
      <c r="T213" t="str">
        <f t="shared" si="27"/>
        <v>Karnataka</v>
      </c>
      <c r="U213" t="str">
        <f t="shared" si="28"/>
        <v>Hubli</v>
      </c>
      <c r="V213" t="str">
        <f t="shared" si="29"/>
        <v>Cotton</v>
      </c>
      <c r="W213" t="str">
        <f t="shared" si="30"/>
        <v>Dap</v>
      </c>
      <c r="X213" t="str">
        <f t="shared" si="31"/>
        <v>Cash</v>
      </c>
    </row>
    <row r="214" spans="1:24" x14ac:dyDescent="0.25">
      <c r="A214" t="s">
        <v>279</v>
      </c>
      <c r="B214" s="1">
        <v>41307</v>
      </c>
      <c r="C214">
        <v>2012</v>
      </c>
      <c r="D214" t="s">
        <v>59</v>
      </c>
      <c r="E214" t="s">
        <v>63</v>
      </c>
      <c r="F214" t="s">
        <v>38</v>
      </c>
      <c r="G214" t="s">
        <v>27</v>
      </c>
      <c r="H214">
        <v>74.510000000000005</v>
      </c>
      <c r="I214">
        <v>416.92</v>
      </c>
      <c r="J214">
        <v>5595.52</v>
      </c>
      <c r="K214" t="s">
        <v>21</v>
      </c>
      <c r="L214" t="s">
        <v>47</v>
      </c>
      <c r="M214">
        <v>193.18</v>
      </c>
      <c r="N214">
        <v>467.89</v>
      </c>
      <c r="O214" t="s">
        <v>61</v>
      </c>
      <c r="P214">
        <v>32.35</v>
      </c>
      <c r="Q214" t="str">
        <f t="shared" si="24"/>
        <v>2013-02</v>
      </c>
      <c r="R214">
        <f t="shared" si="25"/>
        <v>2264.4301005645375</v>
      </c>
      <c r="S214">
        <f t="shared" si="26"/>
        <v>11.721866138133024</v>
      </c>
      <c r="T214" t="str">
        <f t="shared" si="27"/>
        <v>Bihar</v>
      </c>
      <c r="U214" t="str">
        <f t="shared" si="28"/>
        <v>Gaya</v>
      </c>
      <c r="V214" t="str">
        <f t="shared" si="29"/>
        <v>Pulses</v>
      </c>
      <c r="W214" t="str">
        <f t="shared" si="30"/>
        <v>Vermicompost</v>
      </c>
      <c r="X214" t="str">
        <f t="shared" si="31"/>
        <v>Food</v>
      </c>
    </row>
    <row r="215" spans="1:24" x14ac:dyDescent="0.25">
      <c r="A215" t="s">
        <v>280</v>
      </c>
      <c r="B215" s="1">
        <v>44654</v>
      </c>
      <c r="C215">
        <v>2022</v>
      </c>
      <c r="D215" t="s">
        <v>44</v>
      </c>
      <c r="E215" t="s">
        <v>45</v>
      </c>
      <c r="F215" t="s">
        <v>19</v>
      </c>
      <c r="G215" t="s">
        <v>46</v>
      </c>
      <c r="H215">
        <v>55.09</v>
      </c>
      <c r="I215">
        <v>382.25</v>
      </c>
      <c r="J215">
        <v>6938.65</v>
      </c>
      <c r="K215" t="s">
        <v>21</v>
      </c>
      <c r="L215" t="s">
        <v>29</v>
      </c>
      <c r="M215">
        <v>234</v>
      </c>
      <c r="N215">
        <v>853.67</v>
      </c>
      <c r="O215" t="s">
        <v>42</v>
      </c>
      <c r="P215">
        <v>24.47</v>
      </c>
      <c r="Q215" t="str">
        <f t="shared" si="24"/>
        <v>2022-04</v>
      </c>
      <c r="R215">
        <f t="shared" si="25"/>
        <v>2807.9763663220087</v>
      </c>
      <c r="S215">
        <f t="shared" si="26"/>
        <v>11.999899001376106</v>
      </c>
      <c r="T215" t="str">
        <f t="shared" si="27"/>
        <v>West Bengal</v>
      </c>
      <c r="U215" t="str">
        <f t="shared" si="28"/>
        <v>Kolkata</v>
      </c>
      <c r="V215" t="str">
        <f t="shared" si="29"/>
        <v>Sugarcane</v>
      </c>
      <c r="W215" t="str">
        <f t="shared" si="30"/>
        <v>Compost</v>
      </c>
      <c r="X215" t="str">
        <f t="shared" si="31"/>
        <v>Cash</v>
      </c>
    </row>
    <row r="216" spans="1:24" x14ac:dyDescent="0.25">
      <c r="A216" t="s">
        <v>281</v>
      </c>
      <c r="B216" s="1">
        <v>40883</v>
      </c>
      <c r="C216">
        <v>2011</v>
      </c>
      <c r="D216" t="s">
        <v>31</v>
      </c>
      <c r="E216" t="s">
        <v>32</v>
      </c>
      <c r="F216" t="s">
        <v>38</v>
      </c>
      <c r="G216" t="s">
        <v>64</v>
      </c>
      <c r="H216">
        <v>77.790000000000006</v>
      </c>
      <c r="I216">
        <v>188.38</v>
      </c>
      <c r="J216">
        <v>2421.6799999999998</v>
      </c>
      <c r="K216" t="s">
        <v>34</v>
      </c>
      <c r="L216" t="s">
        <v>41</v>
      </c>
      <c r="M216">
        <v>265.26</v>
      </c>
      <c r="N216">
        <v>810.26</v>
      </c>
      <c r="O216" t="s">
        <v>52</v>
      </c>
      <c r="P216">
        <v>22.49</v>
      </c>
      <c r="Q216" t="str">
        <f t="shared" si="24"/>
        <v>2011-12</v>
      </c>
      <c r="R216">
        <f t="shared" si="25"/>
        <v>980.02063899961547</v>
      </c>
      <c r="S216">
        <f t="shared" si="26"/>
        <v>3.69456623312831</v>
      </c>
      <c r="T216" t="str">
        <f t="shared" si="27"/>
        <v>Maharashtra</v>
      </c>
      <c r="U216" t="str">
        <f t="shared" si="28"/>
        <v>Pune</v>
      </c>
      <c r="V216" t="str">
        <f t="shared" si="29"/>
        <v>Wheat</v>
      </c>
      <c r="W216" t="str">
        <f t="shared" si="30"/>
        <v>Dap</v>
      </c>
      <c r="X216" t="str">
        <f t="shared" si="31"/>
        <v>Food</v>
      </c>
    </row>
    <row r="217" spans="1:24" x14ac:dyDescent="0.25">
      <c r="A217" t="s">
        <v>282</v>
      </c>
      <c r="B217" s="1">
        <v>44844</v>
      </c>
      <c r="C217">
        <v>2022</v>
      </c>
      <c r="D217" t="s">
        <v>44</v>
      </c>
      <c r="E217" t="s">
        <v>45</v>
      </c>
      <c r="F217" t="s">
        <v>33</v>
      </c>
      <c r="G217" t="s">
        <v>27</v>
      </c>
      <c r="H217">
        <v>35.729999999999997</v>
      </c>
      <c r="I217">
        <v>95.99</v>
      </c>
      <c r="J217">
        <v>2686.51</v>
      </c>
      <c r="K217" t="s">
        <v>40</v>
      </c>
      <c r="L217" t="s">
        <v>22</v>
      </c>
      <c r="M217">
        <v>130.91</v>
      </c>
      <c r="N217">
        <v>904.05</v>
      </c>
      <c r="O217" t="s">
        <v>70</v>
      </c>
      <c r="P217">
        <v>28.59</v>
      </c>
      <c r="Q217" t="str">
        <f t="shared" si="24"/>
        <v>2022-10</v>
      </c>
      <c r="R217">
        <f t="shared" si="25"/>
        <v>1087.193703081686</v>
      </c>
      <c r="S217">
        <f t="shared" si="26"/>
        <v>8.3048942256640892</v>
      </c>
      <c r="T217" t="str">
        <f t="shared" si="27"/>
        <v>West Bengal</v>
      </c>
      <c r="U217" t="str">
        <f t="shared" si="28"/>
        <v>Kolkata</v>
      </c>
      <c r="V217" t="str">
        <f t="shared" si="29"/>
        <v>Pulses</v>
      </c>
      <c r="W217" t="str">
        <f t="shared" si="30"/>
        <v>Urea</v>
      </c>
      <c r="X217" t="str">
        <f t="shared" si="31"/>
        <v>Food</v>
      </c>
    </row>
    <row r="218" spans="1:24" x14ac:dyDescent="0.25">
      <c r="A218" t="s">
        <v>283</v>
      </c>
      <c r="B218" s="1">
        <v>40583</v>
      </c>
      <c r="C218">
        <v>2010</v>
      </c>
      <c r="D218" t="s">
        <v>103</v>
      </c>
      <c r="E218" t="s">
        <v>107</v>
      </c>
      <c r="F218" t="s">
        <v>38</v>
      </c>
      <c r="G218" t="s">
        <v>39</v>
      </c>
      <c r="H218">
        <v>13.56</v>
      </c>
      <c r="I218">
        <v>84.02</v>
      </c>
      <c r="J218">
        <v>6196.47</v>
      </c>
      <c r="K218" t="s">
        <v>40</v>
      </c>
      <c r="L218" t="s">
        <v>29</v>
      </c>
      <c r="M218">
        <v>86.56</v>
      </c>
      <c r="N218">
        <v>522.1</v>
      </c>
      <c r="O218" t="s">
        <v>42</v>
      </c>
      <c r="P218">
        <v>31.42</v>
      </c>
      <c r="Q218" t="str">
        <f t="shared" si="24"/>
        <v>2011-02</v>
      </c>
      <c r="R218">
        <f t="shared" si="25"/>
        <v>2507.6263127010784</v>
      </c>
      <c r="S218">
        <f t="shared" si="26"/>
        <v>28.969804906435748</v>
      </c>
      <c r="T218" t="str">
        <f t="shared" si="27"/>
        <v>Haryana</v>
      </c>
      <c r="U218" t="str">
        <f t="shared" si="28"/>
        <v>Faridabad</v>
      </c>
      <c r="V218" t="str">
        <f t="shared" si="29"/>
        <v>Cotton</v>
      </c>
      <c r="W218" t="str">
        <f t="shared" si="30"/>
        <v>Compost</v>
      </c>
      <c r="X218" t="str">
        <f t="shared" si="31"/>
        <v>Cash</v>
      </c>
    </row>
    <row r="219" spans="1:24" x14ac:dyDescent="0.25">
      <c r="A219" t="s">
        <v>284</v>
      </c>
      <c r="B219" s="1">
        <v>44260</v>
      </c>
      <c r="C219">
        <v>2020</v>
      </c>
      <c r="D219" t="s">
        <v>103</v>
      </c>
      <c r="E219" t="s">
        <v>228</v>
      </c>
      <c r="F219" t="s">
        <v>38</v>
      </c>
      <c r="G219" t="s">
        <v>39</v>
      </c>
      <c r="H219">
        <v>42.01</v>
      </c>
      <c r="I219">
        <v>155.94</v>
      </c>
      <c r="J219">
        <v>3711.95</v>
      </c>
      <c r="K219" t="s">
        <v>21</v>
      </c>
      <c r="L219" t="s">
        <v>49</v>
      </c>
      <c r="M219">
        <v>150.71</v>
      </c>
      <c r="N219">
        <v>949.8</v>
      </c>
      <c r="O219" t="s">
        <v>70</v>
      </c>
      <c r="P219">
        <v>26.82</v>
      </c>
      <c r="Q219" t="str">
        <f t="shared" si="24"/>
        <v>2021-03</v>
      </c>
      <c r="R219">
        <f t="shared" si="25"/>
        <v>1502.175188684972</v>
      </c>
      <c r="S219">
        <f t="shared" si="26"/>
        <v>9.9673225976044844</v>
      </c>
      <c r="T219" t="str">
        <f t="shared" si="27"/>
        <v>Haryana</v>
      </c>
      <c r="U219" t="str">
        <f t="shared" si="28"/>
        <v>Hisar</v>
      </c>
      <c r="V219" t="str">
        <f t="shared" si="29"/>
        <v>Cotton</v>
      </c>
      <c r="W219" t="str">
        <f t="shared" si="30"/>
        <v>Npk</v>
      </c>
      <c r="X219" t="str">
        <f t="shared" si="31"/>
        <v>Cash</v>
      </c>
    </row>
    <row r="220" spans="1:24" x14ac:dyDescent="0.25">
      <c r="A220" t="s">
        <v>285</v>
      </c>
      <c r="B220" s="1">
        <v>44679</v>
      </c>
      <c r="C220">
        <v>2022</v>
      </c>
      <c r="D220" t="s">
        <v>59</v>
      </c>
      <c r="E220" t="s">
        <v>60</v>
      </c>
      <c r="F220" t="s">
        <v>19</v>
      </c>
      <c r="G220" t="s">
        <v>64</v>
      </c>
      <c r="H220">
        <v>73.36</v>
      </c>
      <c r="I220">
        <v>275.14999999999998</v>
      </c>
      <c r="J220">
        <v>3750.7</v>
      </c>
      <c r="K220" t="s">
        <v>34</v>
      </c>
      <c r="L220" t="s">
        <v>41</v>
      </c>
      <c r="M220">
        <v>262.52999999999997</v>
      </c>
      <c r="N220">
        <v>995.68</v>
      </c>
      <c r="O220" t="s">
        <v>52</v>
      </c>
      <c r="P220">
        <v>23.27</v>
      </c>
      <c r="Q220" t="str">
        <f t="shared" si="24"/>
        <v>2022-04</v>
      </c>
      <c r="R220">
        <f t="shared" si="25"/>
        <v>1517.8567815301187</v>
      </c>
      <c r="S220">
        <f t="shared" si="26"/>
        <v>5.7816507885960418</v>
      </c>
      <c r="T220" t="str">
        <f t="shared" si="27"/>
        <v>Bihar</v>
      </c>
      <c r="U220" t="str">
        <f t="shared" si="28"/>
        <v>Patna</v>
      </c>
      <c r="V220" t="str">
        <f t="shared" si="29"/>
        <v>Wheat</v>
      </c>
      <c r="W220" t="str">
        <f t="shared" si="30"/>
        <v>Dap</v>
      </c>
      <c r="X220" t="str">
        <f t="shared" si="31"/>
        <v>Food</v>
      </c>
    </row>
    <row r="221" spans="1:24" x14ac:dyDescent="0.25">
      <c r="A221" t="s">
        <v>286</v>
      </c>
      <c r="B221" s="1">
        <v>42426</v>
      </c>
      <c r="C221">
        <v>2015</v>
      </c>
      <c r="D221" t="s">
        <v>36</v>
      </c>
      <c r="E221" t="s">
        <v>51</v>
      </c>
      <c r="F221" t="s">
        <v>38</v>
      </c>
      <c r="G221" t="s">
        <v>20</v>
      </c>
      <c r="H221">
        <v>55.18</v>
      </c>
      <c r="I221">
        <v>98.42</v>
      </c>
      <c r="J221">
        <v>1783.57</v>
      </c>
      <c r="K221" t="s">
        <v>28</v>
      </c>
      <c r="L221" t="s">
        <v>22</v>
      </c>
      <c r="M221">
        <v>247.08</v>
      </c>
      <c r="N221">
        <v>1094.1500000000001</v>
      </c>
      <c r="O221" t="s">
        <v>23</v>
      </c>
      <c r="P221">
        <v>20.69</v>
      </c>
      <c r="Q221" t="str">
        <f t="shared" si="24"/>
        <v>2016-02</v>
      </c>
      <c r="R221">
        <f t="shared" si="25"/>
        <v>721.78628518241237</v>
      </c>
      <c r="S221">
        <f t="shared" si="26"/>
        <v>2.9212655220269239</v>
      </c>
      <c r="T221" t="str">
        <f t="shared" si="27"/>
        <v>Karnataka</v>
      </c>
      <c r="U221" t="str">
        <f t="shared" si="28"/>
        <v>Mysore</v>
      </c>
      <c r="V221" t="str">
        <f t="shared" si="29"/>
        <v>Maize</v>
      </c>
      <c r="W221" t="str">
        <f t="shared" si="30"/>
        <v>Urea</v>
      </c>
      <c r="X221" t="str">
        <f t="shared" si="31"/>
        <v>Food</v>
      </c>
    </row>
    <row r="222" spans="1:24" x14ac:dyDescent="0.25">
      <c r="A222" t="s">
        <v>287</v>
      </c>
      <c r="B222" s="1">
        <v>43132</v>
      </c>
      <c r="C222">
        <v>2017</v>
      </c>
      <c r="D222" t="s">
        <v>25</v>
      </c>
      <c r="E222" t="s">
        <v>26</v>
      </c>
      <c r="F222" t="s">
        <v>38</v>
      </c>
      <c r="G222" t="s">
        <v>64</v>
      </c>
      <c r="H222">
        <v>99.19</v>
      </c>
      <c r="I222">
        <v>353.79</v>
      </c>
      <c r="J222">
        <v>3566.8</v>
      </c>
      <c r="K222" t="s">
        <v>40</v>
      </c>
      <c r="L222" t="s">
        <v>49</v>
      </c>
      <c r="M222">
        <v>270.54000000000002</v>
      </c>
      <c r="N222">
        <v>501.87</v>
      </c>
      <c r="O222" t="s">
        <v>70</v>
      </c>
      <c r="P222">
        <v>21.4</v>
      </c>
      <c r="Q222" t="str">
        <f t="shared" si="24"/>
        <v>2018-02</v>
      </c>
      <c r="R222">
        <f t="shared" si="25"/>
        <v>1443.4349770340546</v>
      </c>
      <c r="S222">
        <f t="shared" si="26"/>
        <v>5.3353847010943092</v>
      </c>
      <c r="T222" t="str">
        <f t="shared" si="27"/>
        <v>Punjab</v>
      </c>
      <c r="U222" t="str">
        <f t="shared" si="28"/>
        <v>Ludhiana</v>
      </c>
      <c r="V222" t="str">
        <f t="shared" si="29"/>
        <v>Wheat</v>
      </c>
      <c r="W222" t="str">
        <f t="shared" si="30"/>
        <v>Npk</v>
      </c>
      <c r="X222" t="str">
        <f t="shared" si="31"/>
        <v>Food</v>
      </c>
    </row>
    <row r="223" spans="1:24" x14ac:dyDescent="0.25">
      <c r="A223" t="s">
        <v>288</v>
      </c>
      <c r="B223" s="1">
        <v>43952</v>
      </c>
      <c r="C223">
        <v>2020</v>
      </c>
      <c r="D223" t="s">
        <v>25</v>
      </c>
      <c r="E223" t="s">
        <v>87</v>
      </c>
      <c r="F223" t="s">
        <v>19</v>
      </c>
      <c r="G223" t="s">
        <v>56</v>
      </c>
      <c r="H223">
        <v>6.13</v>
      </c>
      <c r="I223">
        <v>29.14</v>
      </c>
      <c r="J223">
        <v>4753.63</v>
      </c>
      <c r="K223" t="s">
        <v>40</v>
      </c>
      <c r="L223" t="s">
        <v>22</v>
      </c>
      <c r="M223">
        <v>157.31</v>
      </c>
      <c r="N223">
        <v>291.2</v>
      </c>
      <c r="O223" t="s">
        <v>23</v>
      </c>
      <c r="P223">
        <v>20.02</v>
      </c>
      <c r="Q223" t="str">
        <f t="shared" si="24"/>
        <v>2020-05</v>
      </c>
      <c r="R223">
        <f t="shared" si="25"/>
        <v>1923.7287792638758</v>
      </c>
      <c r="S223">
        <f t="shared" si="26"/>
        <v>12.228903307252406</v>
      </c>
      <c r="T223" t="str">
        <f t="shared" si="27"/>
        <v>Punjab</v>
      </c>
      <c r="U223" t="str">
        <f t="shared" si="28"/>
        <v>Amritsar</v>
      </c>
      <c r="V223" t="str">
        <f t="shared" si="29"/>
        <v>Rice</v>
      </c>
      <c r="W223" t="str">
        <f t="shared" si="30"/>
        <v>Urea</v>
      </c>
      <c r="X223" t="str">
        <f t="shared" si="31"/>
        <v>Food</v>
      </c>
    </row>
    <row r="224" spans="1:24" x14ac:dyDescent="0.25">
      <c r="A224" t="s">
        <v>289</v>
      </c>
      <c r="B224" s="1">
        <v>41395</v>
      </c>
      <c r="C224">
        <v>2013</v>
      </c>
      <c r="D224" t="s">
        <v>103</v>
      </c>
      <c r="E224" t="s">
        <v>228</v>
      </c>
      <c r="F224" t="s">
        <v>19</v>
      </c>
      <c r="G224" t="s">
        <v>39</v>
      </c>
      <c r="H224">
        <v>45.06</v>
      </c>
      <c r="I224">
        <v>47.24</v>
      </c>
      <c r="J224">
        <v>1048.3800000000001</v>
      </c>
      <c r="K224" t="s">
        <v>34</v>
      </c>
      <c r="L224" t="s">
        <v>22</v>
      </c>
      <c r="M224">
        <v>254.28</v>
      </c>
      <c r="N224">
        <v>1188.1500000000001</v>
      </c>
      <c r="O224" t="s">
        <v>52</v>
      </c>
      <c r="P224">
        <v>30.41</v>
      </c>
      <c r="Q224" t="str">
        <f t="shared" si="24"/>
        <v>2013-05</v>
      </c>
      <c r="R224">
        <f t="shared" si="25"/>
        <v>424.26498856761299</v>
      </c>
      <c r="S224">
        <f t="shared" si="26"/>
        <v>1.6684953144864441</v>
      </c>
      <c r="T224" t="str">
        <f t="shared" si="27"/>
        <v>Haryana</v>
      </c>
      <c r="U224" t="str">
        <f t="shared" si="28"/>
        <v>Hisar</v>
      </c>
      <c r="V224" t="str">
        <f t="shared" si="29"/>
        <v>Cotton</v>
      </c>
      <c r="W224" t="str">
        <f t="shared" si="30"/>
        <v>Urea</v>
      </c>
      <c r="X224" t="str">
        <f t="shared" si="31"/>
        <v>Cash</v>
      </c>
    </row>
    <row r="225" spans="1:24" x14ac:dyDescent="0.25">
      <c r="A225" t="s">
        <v>290</v>
      </c>
      <c r="B225" s="1">
        <v>40677</v>
      </c>
      <c r="C225">
        <v>2011</v>
      </c>
      <c r="D225" t="s">
        <v>103</v>
      </c>
      <c r="E225" t="s">
        <v>107</v>
      </c>
      <c r="F225" t="s">
        <v>19</v>
      </c>
      <c r="G225" t="s">
        <v>64</v>
      </c>
      <c r="H225">
        <v>11.22</v>
      </c>
      <c r="I225">
        <v>35.96</v>
      </c>
      <c r="J225">
        <v>3205.37</v>
      </c>
      <c r="K225" t="s">
        <v>34</v>
      </c>
      <c r="L225" t="s">
        <v>41</v>
      </c>
      <c r="M225">
        <v>84.28</v>
      </c>
      <c r="N225">
        <v>973.46</v>
      </c>
      <c r="O225" t="s">
        <v>42</v>
      </c>
      <c r="P225">
        <v>29.62</v>
      </c>
      <c r="Q225" t="str">
        <f t="shared" si="24"/>
        <v>2011-05</v>
      </c>
      <c r="R225">
        <f t="shared" si="25"/>
        <v>1297.1692195625342</v>
      </c>
      <c r="S225">
        <f t="shared" si="26"/>
        <v>15.391186753233676</v>
      </c>
      <c r="T225" t="str">
        <f t="shared" si="27"/>
        <v>Haryana</v>
      </c>
      <c r="U225" t="str">
        <f t="shared" si="28"/>
        <v>Faridabad</v>
      </c>
      <c r="V225" t="str">
        <f t="shared" si="29"/>
        <v>Wheat</v>
      </c>
      <c r="W225" t="str">
        <f t="shared" si="30"/>
        <v>Dap</v>
      </c>
      <c r="X225" t="str">
        <f t="shared" si="31"/>
        <v>Food</v>
      </c>
    </row>
    <row r="226" spans="1:24" x14ac:dyDescent="0.25">
      <c r="A226" t="s">
        <v>291</v>
      </c>
      <c r="B226" s="1">
        <v>43730</v>
      </c>
      <c r="C226">
        <v>2019</v>
      </c>
      <c r="D226" t="s">
        <v>25</v>
      </c>
      <c r="E226" t="s">
        <v>69</v>
      </c>
      <c r="F226" t="s">
        <v>33</v>
      </c>
      <c r="G226" t="s">
        <v>27</v>
      </c>
      <c r="H226">
        <v>65.349999999999994</v>
      </c>
      <c r="I226">
        <v>237.91</v>
      </c>
      <c r="J226">
        <v>3640.6</v>
      </c>
      <c r="K226" t="s">
        <v>40</v>
      </c>
      <c r="L226" t="s">
        <v>41</v>
      </c>
      <c r="M226">
        <v>207.02</v>
      </c>
      <c r="N226">
        <v>351.37</v>
      </c>
      <c r="O226" t="s">
        <v>52</v>
      </c>
      <c r="P226">
        <v>29.24</v>
      </c>
      <c r="Q226" t="str">
        <f t="shared" si="24"/>
        <v>2019-09</v>
      </c>
      <c r="R226">
        <f t="shared" si="25"/>
        <v>1473.3008235365533</v>
      </c>
      <c r="S226">
        <f t="shared" si="26"/>
        <v>7.1167076781786935</v>
      </c>
      <c r="T226" t="str">
        <f t="shared" si="27"/>
        <v>Punjab</v>
      </c>
      <c r="U226" t="str">
        <f t="shared" si="28"/>
        <v>Patiala</v>
      </c>
      <c r="V226" t="str">
        <f t="shared" si="29"/>
        <v>Pulses</v>
      </c>
      <c r="W226" t="str">
        <f t="shared" si="30"/>
        <v>Dap</v>
      </c>
      <c r="X226" t="str">
        <f t="shared" si="31"/>
        <v>Food</v>
      </c>
    </row>
    <row r="227" spans="1:24" x14ac:dyDescent="0.25">
      <c r="A227" t="s">
        <v>292</v>
      </c>
      <c r="B227" s="1">
        <v>41124</v>
      </c>
      <c r="C227">
        <v>2012</v>
      </c>
      <c r="D227" t="s">
        <v>25</v>
      </c>
      <c r="E227" t="s">
        <v>26</v>
      </c>
      <c r="F227" t="s">
        <v>33</v>
      </c>
      <c r="G227" t="s">
        <v>27</v>
      </c>
      <c r="H227">
        <v>73.27</v>
      </c>
      <c r="I227">
        <v>227.81</v>
      </c>
      <c r="J227">
        <v>3109.21</v>
      </c>
      <c r="K227" t="s">
        <v>28</v>
      </c>
      <c r="L227" t="s">
        <v>47</v>
      </c>
      <c r="M227">
        <v>128.63</v>
      </c>
      <c r="N227">
        <v>339.83</v>
      </c>
      <c r="O227" t="s">
        <v>70</v>
      </c>
      <c r="P227">
        <v>29.67</v>
      </c>
      <c r="Q227" t="str">
        <f t="shared" si="24"/>
        <v>2012-08</v>
      </c>
      <c r="R227">
        <f t="shared" si="25"/>
        <v>1258.2545881305518</v>
      </c>
      <c r="S227">
        <f t="shared" si="26"/>
        <v>9.781968344325211</v>
      </c>
      <c r="T227" t="str">
        <f t="shared" si="27"/>
        <v>Punjab</v>
      </c>
      <c r="U227" t="str">
        <f t="shared" si="28"/>
        <v>Ludhiana</v>
      </c>
      <c r="V227" t="str">
        <f t="shared" si="29"/>
        <v>Pulses</v>
      </c>
      <c r="W227" t="str">
        <f t="shared" si="30"/>
        <v>Vermicompost</v>
      </c>
      <c r="X227" t="str">
        <f t="shared" si="31"/>
        <v>Food</v>
      </c>
    </row>
    <row r="228" spans="1:24" x14ac:dyDescent="0.25">
      <c r="A228" t="s">
        <v>293</v>
      </c>
      <c r="B228" s="1">
        <v>44305</v>
      </c>
      <c r="C228">
        <v>2021</v>
      </c>
      <c r="D228" t="s">
        <v>59</v>
      </c>
      <c r="E228" t="s">
        <v>93</v>
      </c>
      <c r="F228" t="s">
        <v>19</v>
      </c>
      <c r="G228" t="s">
        <v>20</v>
      </c>
      <c r="H228">
        <v>78.12</v>
      </c>
      <c r="I228">
        <v>401.76</v>
      </c>
      <c r="J228">
        <v>5142.8599999999997</v>
      </c>
      <c r="K228" t="s">
        <v>34</v>
      </c>
      <c r="L228" t="s">
        <v>22</v>
      </c>
      <c r="M228">
        <v>101.36</v>
      </c>
      <c r="N228">
        <v>806.93</v>
      </c>
      <c r="O228" t="s">
        <v>42</v>
      </c>
      <c r="P228">
        <v>31.22</v>
      </c>
      <c r="Q228" t="str">
        <f t="shared" si="24"/>
        <v>2021-04</v>
      </c>
      <c r="R228">
        <f t="shared" si="25"/>
        <v>2081.2448149572042</v>
      </c>
      <c r="S228">
        <f t="shared" si="26"/>
        <v>20.533196674794834</v>
      </c>
      <c r="T228" t="str">
        <f t="shared" si="27"/>
        <v>Bihar</v>
      </c>
      <c r="U228" t="str">
        <f t="shared" si="28"/>
        <v>Bhagalpur</v>
      </c>
      <c r="V228" t="str">
        <f t="shared" si="29"/>
        <v>Maize</v>
      </c>
      <c r="W228" t="str">
        <f t="shared" si="30"/>
        <v>Urea</v>
      </c>
      <c r="X228" t="str">
        <f t="shared" si="31"/>
        <v>Food</v>
      </c>
    </row>
    <row r="229" spans="1:24" x14ac:dyDescent="0.25">
      <c r="A229" t="s">
        <v>294</v>
      </c>
      <c r="B229" s="1">
        <v>43073</v>
      </c>
      <c r="C229">
        <v>2017</v>
      </c>
      <c r="D229" t="s">
        <v>44</v>
      </c>
      <c r="E229" t="s">
        <v>45</v>
      </c>
      <c r="F229" t="s">
        <v>38</v>
      </c>
      <c r="G229" t="s">
        <v>64</v>
      </c>
      <c r="H229">
        <v>24.87</v>
      </c>
      <c r="I229">
        <v>120.08</v>
      </c>
      <c r="J229">
        <v>4828.49</v>
      </c>
      <c r="K229" t="s">
        <v>21</v>
      </c>
      <c r="L229" t="s">
        <v>29</v>
      </c>
      <c r="M229">
        <v>182.07</v>
      </c>
      <c r="N229">
        <v>1177.7</v>
      </c>
      <c r="O229" t="s">
        <v>70</v>
      </c>
      <c r="P229">
        <v>34.01</v>
      </c>
      <c r="Q229" t="str">
        <f t="shared" si="24"/>
        <v>2017-12</v>
      </c>
      <c r="R229">
        <f t="shared" si="25"/>
        <v>1954.0235932093644</v>
      </c>
      <c r="S229">
        <f t="shared" si="26"/>
        <v>10.732265574830365</v>
      </c>
      <c r="T229" t="str">
        <f t="shared" si="27"/>
        <v>West Bengal</v>
      </c>
      <c r="U229" t="str">
        <f t="shared" si="28"/>
        <v>Kolkata</v>
      </c>
      <c r="V229" t="str">
        <f t="shared" si="29"/>
        <v>Wheat</v>
      </c>
      <c r="W229" t="str">
        <f t="shared" si="30"/>
        <v>Compost</v>
      </c>
      <c r="X229" t="str">
        <f t="shared" si="31"/>
        <v>Food</v>
      </c>
    </row>
    <row r="230" spans="1:24" x14ac:dyDescent="0.25">
      <c r="A230" t="s">
        <v>295</v>
      </c>
      <c r="B230" s="1">
        <v>42690</v>
      </c>
      <c r="C230">
        <v>2016</v>
      </c>
      <c r="D230" t="s">
        <v>44</v>
      </c>
      <c r="E230" t="s">
        <v>67</v>
      </c>
      <c r="F230" t="s">
        <v>38</v>
      </c>
      <c r="G230" t="s">
        <v>27</v>
      </c>
      <c r="H230">
        <v>68.61</v>
      </c>
      <c r="I230">
        <v>382.59</v>
      </c>
      <c r="J230">
        <v>5576.36</v>
      </c>
      <c r="K230" t="s">
        <v>21</v>
      </c>
      <c r="L230" t="s">
        <v>29</v>
      </c>
      <c r="M230">
        <v>54.17</v>
      </c>
      <c r="N230">
        <v>267.52999999999997</v>
      </c>
      <c r="O230" t="s">
        <v>70</v>
      </c>
      <c r="P230">
        <v>23.24</v>
      </c>
      <c r="Q230" t="str">
        <f t="shared" si="24"/>
        <v>2016-11</v>
      </c>
      <c r="R230">
        <f t="shared" si="25"/>
        <v>2256.6763116893626</v>
      </c>
      <c r="S230">
        <f t="shared" si="26"/>
        <v>41.659152883318491</v>
      </c>
      <c r="T230" t="str">
        <f t="shared" si="27"/>
        <v>West Bengal</v>
      </c>
      <c r="U230" t="str">
        <f t="shared" si="28"/>
        <v>Darjeeling</v>
      </c>
      <c r="V230" t="str">
        <f t="shared" si="29"/>
        <v>Pulses</v>
      </c>
      <c r="W230" t="str">
        <f t="shared" si="30"/>
        <v>Compost</v>
      </c>
      <c r="X230" t="str">
        <f t="shared" si="31"/>
        <v>Food</v>
      </c>
    </row>
    <row r="231" spans="1:24" x14ac:dyDescent="0.25">
      <c r="A231" t="s">
        <v>296</v>
      </c>
      <c r="B231" s="1">
        <v>43927</v>
      </c>
      <c r="C231">
        <v>2020</v>
      </c>
      <c r="D231" t="s">
        <v>59</v>
      </c>
      <c r="E231" t="s">
        <v>63</v>
      </c>
      <c r="F231" t="s">
        <v>19</v>
      </c>
      <c r="G231" t="s">
        <v>27</v>
      </c>
      <c r="H231">
        <v>76.94</v>
      </c>
      <c r="I231">
        <v>272.48</v>
      </c>
      <c r="J231">
        <v>3541.45</v>
      </c>
      <c r="K231" t="s">
        <v>28</v>
      </c>
      <c r="L231" t="s">
        <v>49</v>
      </c>
      <c r="M231">
        <v>70.61</v>
      </c>
      <c r="N231">
        <v>736.56</v>
      </c>
      <c r="O231" t="s">
        <v>61</v>
      </c>
      <c r="P231">
        <v>22.29</v>
      </c>
      <c r="Q231" t="str">
        <f t="shared" si="24"/>
        <v>2020-04</v>
      </c>
      <c r="R231">
        <f t="shared" si="25"/>
        <v>1433.176180166326</v>
      </c>
      <c r="S231">
        <f t="shared" si="26"/>
        <v>20.297070955478347</v>
      </c>
      <c r="T231" t="str">
        <f t="shared" si="27"/>
        <v>Bihar</v>
      </c>
      <c r="U231" t="str">
        <f t="shared" si="28"/>
        <v>Gaya</v>
      </c>
      <c r="V231" t="str">
        <f t="shared" si="29"/>
        <v>Pulses</v>
      </c>
      <c r="W231" t="str">
        <f t="shared" si="30"/>
        <v>Npk</v>
      </c>
      <c r="X231" t="str">
        <f t="shared" si="31"/>
        <v>Food</v>
      </c>
    </row>
    <row r="232" spans="1:24" x14ac:dyDescent="0.25">
      <c r="A232" t="s">
        <v>297</v>
      </c>
      <c r="B232" s="1">
        <v>41448</v>
      </c>
      <c r="C232">
        <v>2013</v>
      </c>
      <c r="D232" t="s">
        <v>25</v>
      </c>
      <c r="E232" t="s">
        <v>69</v>
      </c>
      <c r="F232" t="s">
        <v>33</v>
      </c>
      <c r="G232" t="s">
        <v>27</v>
      </c>
      <c r="H232">
        <v>33.35</v>
      </c>
      <c r="I232">
        <v>150.69999999999999</v>
      </c>
      <c r="J232">
        <v>4518.62</v>
      </c>
      <c r="K232" t="s">
        <v>21</v>
      </c>
      <c r="L232" t="s">
        <v>29</v>
      </c>
      <c r="M232">
        <v>127.54</v>
      </c>
      <c r="N232">
        <v>637.49</v>
      </c>
      <c r="O232" t="s">
        <v>42</v>
      </c>
      <c r="P232">
        <v>20.87</v>
      </c>
      <c r="Q232" t="str">
        <f t="shared" si="24"/>
        <v>2013-06</v>
      </c>
      <c r="R232">
        <f t="shared" si="25"/>
        <v>1828.6234596628963</v>
      </c>
      <c r="S232">
        <f t="shared" si="26"/>
        <v>14.337646696431678</v>
      </c>
      <c r="T232" t="str">
        <f t="shared" si="27"/>
        <v>Punjab</v>
      </c>
      <c r="U232" t="str">
        <f t="shared" si="28"/>
        <v>Patiala</v>
      </c>
      <c r="V232" t="str">
        <f t="shared" si="29"/>
        <v>Pulses</v>
      </c>
      <c r="W232" t="str">
        <f t="shared" si="30"/>
        <v>Compost</v>
      </c>
      <c r="X232" t="str">
        <f t="shared" si="31"/>
        <v>Food</v>
      </c>
    </row>
    <row r="233" spans="1:24" x14ac:dyDescent="0.25">
      <c r="A233" t="s">
        <v>298</v>
      </c>
      <c r="B233" s="1">
        <v>43616</v>
      </c>
      <c r="C233">
        <v>2019</v>
      </c>
      <c r="D233" t="s">
        <v>25</v>
      </c>
      <c r="E233" t="s">
        <v>87</v>
      </c>
      <c r="F233" t="s">
        <v>19</v>
      </c>
      <c r="G233" t="s">
        <v>64</v>
      </c>
      <c r="H233">
        <v>31.62</v>
      </c>
      <c r="I233">
        <v>172.33</v>
      </c>
      <c r="J233">
        <v>5450.16</v>
      </c>
      <c r="K233" t="s">
        <v>40</v>
      </c>
      <c r="L233" t="s">
        <v>49</v>
      </c>
      <c r="M233">
        <v>79.86</v>
      </c>
      <c r="N233">
        <v>907.9</v>
      </c>
      <c r="O233" t="s">
        <v>23</v>
      </c>
      <c r="P233">
        <v>22.46</v>
      </c>
      <c r="Q233" t="str">
        <f t="shared" si="24"/>
        <v>2019-05</v>
      </c>
      <c r="R233">
        <f t="shared" si="25"/>
        <v>2205.6049047975557</v>
      </c>
      <c r="S233">
        <f t="shared" si="26"/>
        <v>27.618393498591981</v>
      </c>
      <c r="T233" t="str">
        <f t="shared" si="27"/>
        <v>Punjab</v>
      </c>
      <c r="U233" t="str">
        <f t="shared" si="28"/>
        <v>Amritsar</v>
      </c>
      <c r="V233" t="str">
        <f t="shared" si="29"/>
        <v>Wheat</v>
      </c>
      <c r="W233" t="str">
        <f t="shared" si="30"/>
        <v>Npk</v>
      </c>
      <c r="X233" t="str">
        <f t="shared" si="31"/>
        <v>Food</v>
      </c>
    </row>
    <row r="234" spans="1:24" x14ac:dyDescent="0.25">
      <c r="A234" t="s">
        <v>299</v>
      </c>
      <c r="B234" s="1">
        <v>44679</v>
      </c>
      <c r="C234">
        <v>2022</v>
      </c>
      <c r="D234" t="s">
        <v>59</v>
      </c>
      <c r="E234" t="s">
        <v>93</v>
      </c>
      <c r="F234" t="s">
        <v>19</v>
      </c>
      <c r="G234" t="s">
        <v>20</v>
      </c>
      <c r="H234">
        <v>17.53</v>
      </c>
      <c r="I234">
        <v>30.88</v>
      </c>
      <c r="J234">
        <v>1761.58</v>
      </c>
      <c r="K234" t="s">
        <v>34</v>
      </c>
      <c r="L234" t="s">
        <v>49</v>
      </c>
      <c r="M234">
        <v>233.23</v>
      </c>
      <c r="N234">
        <v>318.06</v>
      </c>
      <c r="O234" t="s">
        <v>23</v>
      </c>
      <c r="P234">
        <v>25.03</v>
      </c>
      <c r="Q234" t="str">
        <f t="shared" si="24"/>
        <v>2022-04</v>
      </c>
      <c r="R234">
        <f t="shared" si="25"/>
        <v>712.88723417170831</v>
      </c>
      <c r="S234">
        <f t="shared" si="26"/>
        <v>3.0565846339309193</v>
      </c>
      <c r="T234" t="str">
        <f t="shared" si="27"/>
        <v>Bihar</v>
      </c>
      <c r="U234" t="str">
        <f t="shared" si="28"/>
        <v>Bhagalpur</v>
      </c>
      <c r="V234" t="str">
        <f t="shared" si="29"/>
        <v>Maize</v>
      </c>
      <c r="W234" t="str">
        <f t="shared" si="30"/>
        <v>Npk</v>
      </c>
      <c r="X234" t="str">
        <f t="shared" si="31"/>
        <v>Food</v>
      </c>
    </row>
    <row r="235" spans="1:24" x14ac:dyDescent="0.25">
      <c r="A235" t="s">
        <v>300</v>
      </c>
      <c r="B235" s="1">
        <v>41746</v>
      </c>
      <c r="C235">
        <v>2014</v>
      </c>
      <c r="D235" t="s">
        <v>59</v>
      </c>
      <c r="E235" t="s">
        <v>60</v>
      </c>
      <c r="F235" t="s">
        <v>19</v>
      </c>
      <c r="G235" t="s">
        <v>27</v>
      </c>
      <c r="H235">
        <v>63.13</v>
      </c>
      <c r="I235">
        <v>251.06</v>
      </c>
      <c r="J235">
        <v>3976.89</v>
      </c>
      <c r="K235" t="s">
        <v>34</v>
      </c>
      <c r="L235" t="s">
        <v>22</v>
      </c>
      <c r="M235">
        <v>63.86</v>
      </c>
      <c r="N235">
        <v>1059.3599999999999</v>
      </c>
      <c r="O235" t="s">
        <v>42</v>
      </c>
      <c r="P235">
        <v>25.52</v>
      </c>
      <c r="Q235" t="str">
        <f t="shared" si="24"/>
        <v>2014-04</v>
      </c>
      <c r="R235">
        <f t="shared" si="25"/>
        <v>1609.3927682564092</v>
      </c>
      <c r="S235">
        <f t="shared" si="26"/>
        <v>25.201891140877063</v>
      </c>
      <c r="T235" t="str">
        <f t="shared" si="27"/>
        <v>Bihar</v>
      </c>
      <c r="U235" t="str">
        <f t="shared" si="28"/>
        <v>Patna</v>
      </c>
      <c r="V235" t="str">
        <f t="shared" si="29"/>
        <v>Pulses</v>
      </c>
      <c r="W235" t="str">
        <f t="shared" si="30"/>
        <v>Urea</v>
      </c>
      <c r="X235" t="str">
        <f t="shared" si="31"/>
        <v>Food</v>
      </c>
    </row>
    <row r="236" spans="1:24" x14ac:dyDescent="0.25">
      <c r="A236" t="s">
        <v>301</v>
      </c>
      <c r="B236" s="1">
        <v>44393</v>
      </c>
      <c r="C236">
        <v>2021</v>
      </c>
      <c r="D236" t="s">
        <v>59</v>
      </c>
      <c r="E236" t="s">
        <v>93</v>
      </c>
      <c r="F236" t="s">
        <v>33</v>
      </c>
      <c r="G236" t="s">
        <v>56</v>
      </c>
      <c r="H236">
        <v>74.34</v>
      </c>
      <c r="I236">
        <v>75.489999999999995</v>
      </c>
      <c r="J236">
        <v>1015.41</v>
      </c>
      <c r="K236" t="s">
        <v>21</v>
      </c>
      <c r="L236" t="s">
        <v>22</v>
      </c>
      <c r="M236">
        <v>111.14</v>
      </c>
      <c r="N236">
        <v>671.76</v>
      </c>
      <c r="O236" t="s">
        <v>52</v>
      </c>
      <c r="P236">
        <v>33.799999999999997</v>
      </c>
      <c r="Q236" t="str">
        <f t="shared" si="24"/>
        <v>2021-07</v>
      </c>
      <c r="R236">
        <f t="shared" si="25"/>
        <v>410.9224823455616</v>
      </c>
      <c r="S236">
        <f t="shared" si="26"/>
        <v>3.6973410324416198</v>
      </c>
      <c r="T236" t="str">
        <f t="shared" si="27"/>
        <v>Bihar</v>
      </c>
      <c r="U236" t="str">
        <f t="shared" si="28"/>
        <v>Bhagalpur</v>
      </c>
      <c r="V236" t="str">
        <f t="shared" si="29"/>
        <v>Rice</v>
      </c>
      <c r="W236" t="str">
        <f t="shared" si="30"/>
        <v>Urea</v>
      </c>
      <c r="X236" t="str">
        <f t="shared" si="31"/>
        <v>Food</v>
      </c>
    </row>
    <row r="237" spans="1:24" x14ac:dyDescent="0.25">
      <c r="A237" t="s">
        <v>302</v>
      </c>
      <c r="B237" s="1">
        <v>44330</v>
      </c>
      <c r="C237">
        <v>2021</v>
      </c>
      <c r="D237" t="s">
        <v>59</v>
      </c>
      <c r="E237" t="s">
        <v>93</v>
      </c>
      <c r="F237" t="s">
        <v>19</v>
      </c>
      <c r="G237" t="s">
        <v>46</v>
      </c>
      <c r="H237">
        <v>23.23</v>
      </c>
      <c r="I237">
        <v>57.83</v>
      </c>
      <c r="J237">
        <v>2489.58</v>
      </c>
      <c r="K237" t="s">
        <v>34</v>
      </c>
      <c r="L237" t="s">
        <v>22</v>
      </c>
      <c r="M237">
        <v>117.81</v>
      </c>
      <c r="N237">
        <v>277.89</v>
      </c>
      <c r="O237" t="s">
        <v>70</v>
      </c>
      <c r="P237">
        <v>21.79</v>
      </c>
      <c r="Q237" t="str">
        <f t="shared" si="24"/>
        <v>2021-05</v>
      </c>
      <c r="R237">
        <f t="shared" si="25"/>
        <v>1007.4988365269825</v>
      </c>
      <c r="S237">
        <f t="shared" si="26"/>
        <v>8.5518957348865339</v>
      </c>
      <c r="T237" t="str">
        <f t="shared" si="27"/>
        <v>Bihar</v>
      </c>
      <c r="U237" t="str">
        <f t="shared" si="28"/>
        <v>Bhagalpur</v>
      </c>
      <c r="V237" t="str">
        <f t="shared" si="29"/>
        <v>Sugarcane</v>
      </c>
      <c r="W237" t="str">
        <f t="shared" si="30"/>
        <v>Urea</v>
      </c>
      <c r="X237" t="str">
        <f t="shared" si="31"/>
        <v>Cash</v>
      </c>
    </row>
    <row r="238" spans="1:24" x14ac:dyDescent="0.25">
      <c r="A238" t="s">
        <v>303</v>
      </c>
      <c r="B238" s="1">
        <v>44687</v>
      </c>
      <c r="C238">
        <v>2022</v>
      </c>
      <c r="D238" t="s">
        <v>103</v>
      </c>
      <c r="E238" t="s">
        <v>104</v>
      </c>
      <c r="F238" t="s">
        <v>19</v>
      </c>
      <c r="G238" t="s">
        <v>64</v>
      </c>
      <c r="H238">
        <v>95.45</v>
      </c>
      <c r="I238">
        <v>134.91999999999999</v>
      </c>
      <c r="J238">
        <v>1413.56</v>
      </c>
      <c r="K238" t="s">
        <v>28</v>
      </c>
      <c r="L238" t="s">
        <v>29</v>
      </c>
      <c r="M238">
        <v>266.51</v>
      </c>
      <c r="N238">
        <v>973.53</v>
      </c>
      <c r="O238" t="s">
        <v>70</v>
      </c>
      <c r="P238">
        <v>24.91</v>
      </c>
      <c r="Q238" t="str">
        <f t="shared" si="24"/>
        <v>2022-05</v>
      </c>
      <c r="R238">
        <f t="shared" si="25"/>
        <v>572.04831954027634</v>
      </c>
      <c r="S238">
        <f t="shared" si="26"/>
        <v>2.1464422330879755</v>
      </c>
      <c r="T238" t="str">
        <f t="shared" si="27"/>
        <v>Haryana</v>
      </c>
      <c r="U238" t="str">
        <f t="shared" si="28"/>
        <v>Gurgaon</v>
      </c>
      <c r="V238" t="str">
        <f t="shared" si="29"/>
        <v>Wheat</v>
      </c>
      <c r="W238" t="str">
        <f t="shared" si="30"/>
        <v>Compost</v>
      </c>
      <c r="X238" t="str">
        <f t="shared" si="31"/>
        <v>Food</v>
      </c>
    </row>
    <row r="239" spans="1:24" x14ac:dyDescent="0.25">
      <c r="A239" t="s">
        <v>304</v>
      </c>
      <c r="B239" s="1">
        <v>41629</v>
      </c>
      <c r="C239">
        <v>2013</v>
      </c>
      <c r="D239" t="s">
        <v>25</v>
      </c>
      <c r="E239" t="s">
        <v>87</v>
      </c>
      <c r="F239" t="s">
        <v>38</v>
      </c>
      <c r="G239" t="s">
        <v>27</v>
      </c>
      <c r="H239">
        <v>78.67</v>
      </c>
      <c r="I239">
        <v>427.76</v>
      </c>
      <c r="J239">
        <v>5437.46</v>
      </c>
      <c r="K239" t="s">
        <v>40</v>
      </c>
      <c r="L239" t="s">
        <v>47</v>
      </c>
      <c r="M239">
        <v>165.98</v>
      </c>
      <c r="N239">
        <v>791.69</v>
      </c>
      <c r="O239" t="s">
        <v>52</v>
      </c>
      <c r="P239">
        <v>34.97</v>
      </c>
      <c r="Q239" t="str">
        <f t="shared" si="24"/>
        <v>2013-12</v>
      </c>
      <c r="R239">
        <f t="shared" si="25"/>
        <v>2200.4653892070173</v>
      </c>
      <c r="S239">
        <f t="shared" si="26"/>
        <v>13.257412876292429</v>
      </c>
      <c r="T239" t="str">
        <f t="shared" si="27"/>
        <v>Punjab</v>
      </c>
      <c r="U239" t="str">
        <f t="shared" si="28"/>
        <v>Amritsar</v>
      </c>
      <c r="V239" t="str">
        <f t="shared" si="29"/>
        <v>Pulses</v>
      </c>
      <c r="W239" t="str">
        <f t="shared" si="30"/>
        <v>Vermicompost</v>
      </c>
      <c r="X239" t="str">
        <f t="shared" si="31"/>
        <v>Food</v>
      </c>
    </row>
    <row r="240" spans="1:24" x14ac:dyDescent="0.25">
      <c r="A240" t="s">
        <v>305</v>
      </c>
      <c r="B240" s="1">
        <v>41139</v>
      </c>
      <c r="C240">
        <v>2012</v>
      </c>
      <c r="D240" t="s">
        <v>44</v>
      </c>
      <c r="E240" t="s">
        <v>45</v>
      </c>
      <c r="F240" t="s">
        <v>33</v>
      </c>
      <c r="G240" t="s">
        <v>46</v>
      </c>
      <c r="H240">
        <v>3.37</v>
      </c>
      <c r="I240">
        <v>14.32</v>
      </c>
      <c r="J240">
        <v>4249.2700000000004</v>
      </c>
      <c r="K240" t="s">
        <v>21</v>
      </c>
      <c r="L240" t="s">
        <v>22</v>
      </c>
      <c r="M240">
        <v>287.75</v>
      </c>
      <c r="N240">
        <v>201.46</v>
      </c>
      <c r="O240" t="s">
        <v>52</v>
      </c>
      <c r="P240">
        <v>32.74</v>
      </c>
      <c r="Q240" t="str">
        <f t="shared" si="24"/>
        <v>2012-08</v>
      </c>
      <c r="R240">
        <f t="shared" si="25"/>
        <v>1719.6212136541149</v>
      </c>
      <c r="S240">
        <f t="shared" si="26"/>
        <v>5.9760945739500082</v>
      </c>
      <c r="T240" t="str">
        <f t="shared" si="27"/>
        <v>West Bengal</v>
      </c>
      <c r="U240" t="str">
        <f t="shared" si="28"/>
        <v>Kolkata</v>
      </c>
      <c r="V240" t="str">
        <f t="shared" si="29"/>
        <v>Sugarcane</v>
      </c>
      <c r="W240" t="str">
        <f t="shared" si="30"/>
        <v>Urea</v>
      </c>
      <c r="X240" t="str">
        <f t="shared" si="31"/>
        <v>Cash</v>
      </c>
    </row>
    <row r="241" spans="1:24" x14ac:dyDescent="0.25">
      <c r="A241" t="s">
        <v>306</v>
      </c>
      <c r="B241" s="1">
        <v>41712</v>
      </c>
      <c r="C241">
        <v>2013</v>
      </c>
      <c r="D241" t="s">
        <v>103</v>
      </c>
      <c r="E241" t="s">
        <v>228</v>
      </c>
      <c r="F241" t="s">
        <v>38</v>
      </c>
      <c r="G241" t="s">
        <v>46</v>
      </c>
      <c r="H241">
        <v>96.16</v>
      </c>
      <c r="I241">
        <v>657.29</v>
      </c>
      <c r="J241">
        <v>6835.36</v>
      </c>
      <c r="K241" t="s">
        <v>40</v>
      </c>
      <c r="L241" t="s">
        <v>29</v>
      </c>
      <c r="M241">
        <v>227.91</v>
      </c>
      <c r="N241">
        <v>293.02999999999997</v>
      </c>
      <c r="O241" t="s">
        <v>42</v>
      </c>
      <c r="P241">
        <v>33.46</v>
      </c>
      <c r="Q241" t="str">
        <f t="shared" si="24"/>
        <v>2014-03</v>
      </c>
      <c r="R241">
        <f t="shared" si="25"/>
        <v>2766.1763218065194</v>
      </c>
      <c r="S241">
        <f t="shared" si="26"/>
        <v>12.137143266230176</v>
      </c>
      <c r="T241" t="str">
        <f t="shared" si="27"/>
        <v>Haryana</v>
      </c>
      <c r="U241" t="str">
        <f t="shared" si="28"/>
        <v>Hisar</v>
      </c>
      <c r="V241" t="str">
        <f t="shared" si="29"/>
        <v>Sugarcane</v>
      </c>
      <c r="W241" t="str">
        <f t="shared" si="30"/>
        <v>Compost</v>
      </c>
      <c r="X241" t="str">
        <f t="shared" si="31"/>
        <v>Cash</v>
      </c>
    </row>
    <row r="242" spans="1:24" x14ac:dyDescent="0.25">
      <c r="A242" t="s">
        <v>307</v>
      </c>
      <c r="B242" s="1">
        <v>42834</v>
      </c>
      <c r="C242">
        <v>2017</v>
      </c>
      <c r="D242" t="s">
        <v>17</v>
      </c>
      <c r="E242" t="s">
        <v>72</v>
      </c>
      <c r="F242" t="s">
        <v>19</v>
      </c>
      <c r="G242" t="s">
        <v>64</v>
      </c>
      <c r="H242">
        <v>58.5</v>
      </c>
      <c r="I242">
        <v>235.91</v>
      </c>
      <c r="J242">
        <v>4032.57</v>
      </c>
      <c r="K242" t="s">
        <v>28</v>
      </c>
      <c r="L242" t="s">
        <v>41</v>
      </c>
      <c r="M242">
        <v>68.709999999999994</v>
      </c>
      <c r="N242">
        <v>767.82</v>
      </c>
      <c r="O242" t="s">
        <v>52</v>
      </c>
      <c r="P242">
        <v>29.94</v>
      </c>
      <c r="Q242" t="str">
        <f t="shared" si="24"/>
        <v>2017-04</v>
      </c>
      <c r="R242">
        <f t="shared" si="25"/>
        <v>1631.9256996013842</v>
      </c>
      <c r="S242">
        <f t="shared" si="26"/>
        <v>23.750919802086806</v>
      </c>
      <c r="T242" t="str">
        <f t="shared" si="27"/>
        <v>Uttar Pradesh</v>
      </c>
      <c r="U242" t="str">
        <f t="shared" si="28"/>
        <v>Kanpur</v>
      </c>
      <c r="V242" t="str">
        <f t="shared" si="29"/>
        <v>Wheat</v>
      </c>
      <c r="W242" t="str">
        <f t="shared" si="30"/>
        <v>Dap</v>
      </c>
      <c r="X242" t="str">
        <f t="shared" si="31"/>
        <v>Food</v>
      </c>
    </row>
    <row r="243" spans="1:24" x14ac:dyDescent="0.25">
      <c r="A243" t="s">
        <v>308</v>
      </c>
      <c r="B243" s="1">
        <v>42458</v>
      </c>
      <c r="C243">
        <v>2015</v>
      </c>
      <c r="D243" t="s">
        <v>31</v>
      </c>
      <c r="E243" t="s">
        <v>32</v>
      </c>
      <c r="F243" t="s">
        <v>38</v>
      </c>
      <c r="G243" t="s">
        <v>39</v>
      </c>
      <c r="H243">
        <v>83.36</v>
      </c>
      <c r="I243">
        <v>246.54</v>
      </c>
      <c r="J243">
        <v>2957.51</v>
      </c>
      <c r="K243" t="s">
        <v>28</v>
      </c>
      <c r="L243" t="s">
        <v>22</v>
      </c>
      <c r="M243">
        <v>117.99</v>
      </c>
      <c r="N243">
        <v>274.69</v>
      </c>
      <c r="O243" t="s">
        <v>42</v>
      </c>
      <c r="P243">
        <v>22.04</v>
      </c>
      <c r="Q243" t="str">
        <f t="shared" si="24"/>
        <v>2016-03</v>
      </c>
      <c r="R243">
        <f t="shared" si="25"/>
        <v>1196.8636814309707</v>
      </c>
      <c r="S243">
        <f t="shared" si="26"/>
        <v>10.143772196211296</v>
      </c>
      <c r="T243" t="str">
        <f t="shared" si="27"/>
        <v>Maharashtra</v>
      </c>
      <c r="U243" t="str">
        <f t="shared" si="28"/>
        <v>Pune</v>
      </c>
      <c r="V243" t="str">
        <f t="shared" si="29"/>
        <v>Cotton</v>
      </c>
      <c r="W243" t="str">
        <f t="shared" si="30"/>
        <v>Urea</v>
      </c>
      <c r="X243" t="str">
        <f t="shared" si="31"/>
        <v>Cash</v>
      </c>
    </row>
    <row r="244" spans="1:24" x14ac:dyDescent="0.25">
      <c r="A244" t="s">
        <v>309</v>
      </c>
      <c r="B244" s="1">
        <v>41244</v>
      </c>
      <c r="C244">
        <v>2012</v>
      </c>
      <c r="D244" t="s">
        <v>103</v>
      </c>
      <c r="E244" t="s">
        <v>104</v>
      </c>
      <c r="F244" t="s">
        <v>38</v>
      </c>
      <c r="G244" t="s">
        <v>46</v>
      </c>
      <c r="H244">
        <v>32.090000000000003</v>
      </c>
      <c r="I244">
        <v>55.34</v>
      </c>
      <c r="J244">
        <v>1724.42</v>
      </c>
      <c r="K244" t="s">
        <v>34</v>
      </c>
      <c r="L244" t="s">
        <v>22</v>
      </c>
      <c r="M244">
        <v>291.16000000000003</v>
      </c>
      <c r="N244">
        <v>407.64</v>
      </c>
      <c r="O244" t="s">
        <v>70</v>
      </c>
      <c r="P244">
        <v>26.95</v>
      </c>
      <c r="Q244" t="str">
        <f t="shared" si="24"/>
        <v>2012-12</v>
      </c>
      <c r="R244">
        <f t="shared" si="25"/>
        <v>697.84909249104635</v>
      </c>
      <c r="S244">
        <f t="shared" si="26"/>
        <v>2.3967890249039918</v>
      </c>
      <c r="T244" t="str">
        <f t="shared" si="27"/>
        <v>Haryana</v>
      </c>
      <c r="U244" t="str">
        <f t="shared" si="28"/>
        <v>Gurgaon</v>
      </c>
      <c r="V244" t="str">
        <f t="shared" si="29"/>
        <v>Sugarcane</v>
      </c>
      <c r="W244" t="str">
        <f t="shared" si="30"/>
        <v>Urea</v>
      </c>
      <c r="X244" t="str">
        <f t="shared" si="31"/>
        <v>Cash</v>
      </c>
    </row>
    <row r="245" spans="1:24" x14ac:dyDescent="0.25">
      <c r="A245" t="s">
        <v>310</v>
      </c>
      <c r="B245" s="1">
        <v>41733</v>
      </c>
      <c r="C245">
        <v>2014</v>
      </c>
      <c r="D245" t="s">
        <v>103</v>
      </c>
      <c r="E245" t="s">
        <v>228</v>
      </c>
      <c r="F245" t="s">
        <v>19</v>
      </c>
      <c r="G245" t="s">
        <v>39</v>
      </c>
      <c r="H245">
        <v>60.73</v>
      </c>
      <c r="I245">
        <v>139.08000000000001</v>
      </c>
      <c r="J245">
        <v>2290.12</v>
      </c>
      <c r="K245" t="s">
        <v>34</v>
      </c>
      <c r="L245" t="s">
        <v>49</v>
      </c>
      <c r="M245">
        <v>87.08</v>
      </c>
      <c r="N245">
        <v>911.16</v>
      </c>
      <c r="O245" t="s">
        <v>70</v>
      </c>
      <c r="P245">
        <v>25.94</v>
      </c>
      <c r="Q245" t="str">
        <f t="shared" si="24"/>
        <v>2014-04</v>
      </c>
      <c r="R245">
        <f t="shared" si="25"/>
        <v>926.78011371684102</v>
      </c>
      <c r="S245">
        <f t="shared" si="26"/>
        <v>10.642858448746452</v>
      </c>
      <c r="T245" t="str">
        <f t="shared" si="27"/>
        <v>Haryana</v>
      </c>
      <c r="U245" t="str">
        <f t="shared" si="28"/>
        <v>Hisar</v>
      </c>
      <c r="V245" t="str">
        <f t="shared" si="29"/>
        <v>Cotton</v>
      </c>
      <c r="W245" t="str">
        <f t="shared" si="30"/>
        <v>Npk</v>
      </c>
      <c r="X245" t="str">
        <f t="shared" si="31"/>
        <v>Cash</v>
      </c>
    </row>
    <row r="246" spans="1:24" x14ac:dyDescent="0.25">
      <c r="A246" t="s">
        <v>311</v>
      </c>
      <c r="B246" s="1">
        <v>40498</v>
      </c>
      <c r="C246">
        <v>2010</v>
      </c>
      <c r="D246" t="s">
        <v>31</v>
      </c>
      <c r="E246" t="s">
        <v>82</v>
      </c>
      <c r="F246" t="s">
        <v>38</v>
      </c>
      <c r="G246" t="s">
        <v>46</v>
      </c>
      <c r="H246">
        <v>56.04</v>
      </c>
      <c r="I246">
        <v>241.01</v>
      </c>
      <c r="J246">
        <v>4300.7299999999996</v>
      </c>
      <c r="K246" t="s">
        <v>21</v>
      </c>
      <c r="L246" t="s">
        <v>41</v>
      </c>
      <c r="M246">
        <v>165.51</v>
      </c>
      <c r="N246">
        <v>1003.9</v>
      </c>
      <c r="O246" t="s">
        <v>42</v>
      </c>
      <c r="P246">
        <v>21.82</v>
      </c>
      <c r="Q246" t="str">
        <f t="shared" si="24"/>
        <v>2010-11</v>
      </c>
      <c r="R246">
        <f t="shared" si="25"/>
        <v>1740.4463689524694</v>
      </c>
      <c r="S246">
        <f t="shared" si="26"/>
        <v>10.515656872409338</v>
      </c>
      <c r="T246" t="str">
        <f t="shared" si="27"/>
        <v>Maharashtra</v>
      </c>
      <c r="U246" t="str">
        <f t="shared" si="28"/>
        <v>Nagpur</v>
      </c>
      <c r="V246" t="str">
        <f t="shared" si="29"/>
        <v>Sugarcane</v>
      </c>
      <c r="W246" t="str">
        <f t="shared" si="30"/>
        <v>Dap</v>
      </c>
      <c r="X246" t="str">
        <f t="shared" si="31"/>
        <v>Cash</v>
      </c>
    </row>
    <row r="247" spans="1:24" x14ac:dyDescent="0.25">
      <c r="A247" t="s">
        <v>312</v>
      </c>
      <c r="B247" s="1">
        <v>42788</v>
      </c>
      <c r="C247">
        <v>2016</v>
      </c>
      <c r="D247" t="s">
        <v>103</v>
      </c>
      <c r="E247" t="s">
        <v>104</v>
      </c>
      <c r="F247" t="s">
        <v>38</v>
      </c>
      <c r="G247" t="s">
        <v>39</v>
      </c>
      <c r="H247">
        <v>63.4</v>
      </c>
      <c r="I247">
        <v>308.64</v>
      </c>
      <c r="J247">
        <v>4868.1099999999997</v>
      </c>
      <c r="K247" t="s">
        <v>34</v>
      </c>
      <c r="L247" t="s">
        <v>41</v>
      </c>
      <c r="M247">
        <v>279.36</v>
      </c>
      <c r="N247">
        <v>274.99</v>
      </c>
      <c r="O247" t="s">
        <v>23</v>
      </c>
      <c r="P247">
        <v>22.97</v>
      </c>
      <c r="Q247" t="str">
        <f t="shared" si="24"/>
        <v>2017-02</v>
      </c>
      <c r="R247">
        <f t="shared" si="25"/>
        <v>1970.0572631067764</v>
      </c>
      <c r="S247">
        <f t="shared" si="26"/>
        <v>7.0520377402161234</v>
      </c>
      <c r="T247" t="str">
        <f t="shared" si="27"/>
        <v>Haryana</v>
      </c>
      <c r="U247" t="str">
        <f t="shared" si="28"/>
        <v>Gurgaon</v>
      </c>
      <c r="V247" t="str">
        <f t="shared" si="29"/>
        <v>Cotton</v>
      </c>
      <c r="W247" t="str">
        <f t="shared" si="30"/>
        <v>Dap</v>
      </c>
      <c r="X247" t="str">
        <f t="shared" si="31"/>
        <v>Cash</v>
      </c>
    </row>
    <row r="248" spans="1:24" x14ac:dyDescent="0.25">
      <c r="A248" t="s">
        <v>313</v>
      </c>
      <c r="B248" s="1">
        <v>40804</v>
      </c>
      <c r="C248">
        <v>2011</v>
      </c>
      <c r="D248" t="s">
        <v>25</v>
      </c>
      <c r="E248" t="s">
        <v>87</v>
      </c>
      <c r="F248" t="s">
        <v>33</v>
      </c>
      <c r="G248" t="s">
        <v>46</v>
      </c>
      <c r="H248">
        <v>6.01</v>
      </c>
      <c r="I248">
        <v>39.33</v>
      </c>
      <c r="J248">
        <v>6544.79</v>
      </c>
      <c r="K248" t="s">
        <v>28</v>
      </c>
      <c r="L248" t="s">
        <v>41</v>
      </c>
      <c r="M248">
        <v>255.42</v>
      </c>
      <c r="N248">
        <v>595</v>
      </c>
      <c r="O248" t="s">
        <v>23</v>
      </c>
      <c r="P248">
        <v>25.74</v>
      </c>
      <c r="Q248" t="str">
        <f t="shared" si="24"/>
        <v>2011-09</v>
      </c>
      <c r="R248">
        <f t="shared" si="25"/>
        <v>2648.586633212602</v>
      </c>
      <c r="S248">
        <f t="shared" si="26"/>
        <v>10.369535013752259</v>
      </c>
      <c r="T248" t="str">
        <f t="shared" si="27"/>
        <v>Punjab</v>
      </c>
      <c r="U248" t="str">
        <f t="shared" si="28"/>
        <v>Amritsar</v>
      </c>
      <c r="V248" t="str">
        <f t="shared" si="29"/>
        <v>Sugarcane</v>
      </c>
      <c r="W248" t="str">
        <f t="shared" si="30"/>
        <v>Dap</v>
      </c>
      <c r="X248" t="str">
        <f t="shared" si="31"/>
        <v>Cash</v>
      </c>
    </row>
    <row r="249" spans="1:24" x14ac:dyDescent="0.25">
      <c r="A249" t="s">
        <v>314</v>
      </c>
      <c r="B249" s="1">
        <v>41236</v>
      </c>
      <c r="C249">
        <v>2012</v>
      </c>
      <c r="D249" t="s">
        <v>31</v>
      </c>
      <c r="E249" t="s">
        <v>82</v>
      </c>
      <c r="F249" t="s">
        <v>38</v>
      </c>
      <c r="G249" t="s">
        <v>20</v>
      </c>
      <c r="H249">
        <v>45.16</v>
      </c>
      <c r="I249">
        <v>85.43</v>
      </c>
      <c r="J249">
        <v>1891.79</v>
      </c>
      <c r="K249" t="s">
        <v>40</v>
      </c>
      <c r="L249" t="s">
        <v>49</v>
      </c>
      <c r="M249">
        <v>211.82</v>
      </c>
      <c r="N249">
        <v>698.89</v>
      </c>
      <c r="O249" t="s">
        <v>61</v>
      </c>
      <c r="P249">
        <v>27.19</v>
      </c>
      <c r="Q249" t="str">
        <f t="shared" si="24"/>
        <v>2012-11</v>
      </c>
      <c r="R249">
        <f t="shared" si="25"/>
        <v>765.58143299407129</v>
      </c>
      <c r="S249">
        <f t="shared" si="26"/>
        <v>3.6143019214147452</v>
      </c>
      <c r="T249" t="str">
        <f t="shared" si="27"/>
        <v>Maharashtra</v>
      </c>
      <c r="U249" t="str">
        <f t="shared" si="28"/>
        <v>Nagpur</v>
      </c>
      <c r="V249" t="str">
        <f t="shared" si="29"/>
        <v>Maize</v>
      </c>
      <c r="W249" t="str">
        <f t="shared" si="30"/>
        <v>Npk</v>
      </c>
      <c r="X249" t="str">
        <f t="shared" si="31"/>
        <v>Food</v>
      </c>
    </row>
    <row r="250" spans="1:24" x14ac:dyDescent="0.25">
      <c r="A250" t="s">
        <v>315</v>
      </c>
      <c r="B250" s="1">
        <v>42646</v>
      </c>
      <c r="C250">
        <v>2016</v>
      </c>
      <c r="D250" t="s">
        <v>36</v>
      </c>
      <c r="E250" t="s">
        <v>37</v>
      </c>
      <c r="F250" t="s">
        <v>33</v>
      </c>
      <c r="G250" t="s">
        <v>39</v>
      </c>
      <c r="H250">
        <v>88.58</v>
      </c>
      <c r="I250">
        <v>368.04</v>
      </c>
      <c r="J250">
        <v>4154.88</v>
      </c>
      <c r="K250" t="s">
        <v>21</v>
      </c>
      <c r="L250" t="s">
        <v>49</v>
      </c>
      <c r="M250">
        <v>297.35000000000002</v>
      </c>
      <c r="N250">
        <v>981.92</v>
      </c>
      <c r="O250" t="s">
        <v>70</v>
      </c>
      <c r="P250">
        <v>27.2</v>
      </c>
      <c r="Q250" t="str">
        <f t="shared" si="24"/>
        <v>2016-10</v>
      </c>
      <c r="R250">
        <f t="shared" si="25"/>
        <v>1681.4228769146719</v>
      </c>
      <c r="S250">
        <f t="shared" si="26"/>
        <v>5.6546927086419094</v>
      </c>
      <c r="T250" t="str">
        <f t="shared" si="27"/>
        <v>Karnataka</v>
      </c>
      <c r="U250" t="str">
        <f t="shared" si="28"/>
        <v>Bangalore</v>
      </c>
      <c r="V250" t="str">
        <f t="shared" si="29"/>
        <v>Cotton</v>
      </c>
      <c r="W250" t="str">
        <f t="shared" si="30"/>
        <v>Npk</v>
      </c>
      <c r="X250" t="str">
        <f t="shared" si="31"/>
        <v>Cash</v>
      </c>
    </row>
    <row r="251" spans="1:24" x14ac:dyDescent="0.25">
      <c r="A251" t="s">
        <v>316</v>
      </c>
      <c r="B251" s="1">
        <v>42429</v>
      </c>
      <c r="C251">
        <v>2015</v>
      </c>
      <c r="D251" t="s">
        <v>59</v>
      </c>
      <c r="E251" t="s">
        <v>93</v>
      </c>
      <c r="F251" t="s">
        <v>38</v>
      </c>
      <c r="G251" t="s">
        <v>20</v>
      </c>
      <c r="H251">
        <v>18.8</v>
      </c>
      <c r="I251">
        <v>54.77</v>
      </c>
      <c r="J251">
        <v>2913.27</v>
      </c>
      <c r="K251" t="s">
        <v>40</v>
      </c>
      <c r="L251" t="s">
        <v>47</v>
      </c>
      <c r="M251">
        <v>57.33</v>
      </c>
      <c r="N251">
        <v>1010.69</v>
      </c>
      <c r="O251" t="s">
        <v>70</v>
      </c>
      <c r="P251">
        <v>20.88</v>
      </c>
      <c r="Q251" t="str">
        <f t="shared" si="24"/>
        <v>2016-02</v>
      </c>
      <c r="R251">
        <f t="shared" si="25"/>
        <v>1178.9603609801502</v>
      </c>
      <c r="S251">
        <f t="shared" si="26"/>
        <v>20.564457718125766</v>
      </c>
      <c r="T251" t="str">
        <f t="shared" si="27"/>
        <v>Bihar</v>
      </c>
      <c r="U251" t="str">
        <f t="shared" si="28"/>
        <v>Bhagalpur</v>
      </c>
      <c r="V251" t="str">
        <f t="shared" si="29"/>
        <v>Maize</v>
      </c>
      <c r="W251" t="str">
        <f t="shared" si="30"/>
        <v>Vermicompost</v>
      </c>
      <c r="X251" t="str">
        <f t="shared" si="31"/>
        <v>Food</v>
      </c>
    </row>
    <row r="252" spans="1:24" x14ac:dyDescent="0.25">
      <c r="A252" t="s">
        <v>317</v>
      </c>
      <c r="B252" s="1">
        <v>41525</v>
      </c>
      <c r="C252">
        <v>2013</v>
      </c>
      <c r="D252" t="s">
        <v>31</v>
      </c>
      <c r="E252" t="s">
        <v>117</v>
      </c>
      <c r="F252" t="s">
        <v>33</v>
      </c>
      <c r="G252" t="s">
        <v>64</v>
      </c>
      <c r="H252">
        <v>25.54</v>
      </c>
      <c r="I252">
        <v>62.49</v>
      </c>
      <c r="J252">
        <v>2446.92</v>
      </c>
      <c r="K252" t="s">
        <v>21</v>
      </c>
      <c r="L252" t="s">
        <v>49</v>
      </c>
      <c r="M252">
        <v>241.01</v>
      </c>
      <c r="N252">
        <v>1147.8</v>
      </c>
      <c r="O252" t="s">
        <v>61</v>
      </c>
      <c r="P252">
        <v>32.700000000000003</v>
      </c>
      <c r="Q252" t="str">
        <f t="shared" si="24"/>
        <v>2013-09</v>
      </c>
      <c r="R252">
        <f t="shared" si="25"/>
        <v>990.23492037797701</v>
      </c>
      <c r="S252">
        <f t="shared" si="26"/>
        <v>4.1086881057963449</v>
      </c>
      <c r="T252" t="str">
        <f t="shared" si="27"/>
        <v>Maharashtra</v>
      </c>
      <c r="U252" t="str">
        <f t="shared" si="28"/>
        <v>Mumbai</v>
      </c>
      <c r="V252" t="str">
        <f t="shared" si="29"/>
        <v>Wheat</v>
      </c>
      <c r="W252" t="str">
        <f t="shared" si="30"/>
        <v>Npk</v>
      </c>
      <c r="X252" t="str">
        <f t="shared" si="31"/>
        <v>Food</v>
      </c>
    </row>
    <row r="253" spans="1:24" x14ac:dyDescent="0.25">
      <c r="A253" t="s">
        <v>318</v>
      </c>
      <c r="B253" s="1">
        <v>41205</v>
      </c>
      <c r="C253">
        <v>2012</v>
      </c>
      <c r="D253" t="s">
        <v>44</v>
      </c>
      <c r="E253" t="s">
        <v>45</v>
      </c>
      <c r="F253" t="s">
        <v>33</v>
      </c>
      <c r="G253" t="s">
        <v>27</v>
      </c>
      <c r="H253">
        <v>32.479999999999997</v>
      </c>
      <c r="I253">
        <v>176.32</v>
      </c>
      <c r="J253">
        <v>5428.63</v>
      </c>
      <c r="K253" t="s">
        <v>34</v>
      </c>
      <c r="L253" t="s">
        <v>41</v>
      </c>
      <c r="M253">
        <v>278.5</v>
      </c>
      <c r="N253">
        <v>228.21</v>
      </c>
      <c r="O253" t="s">
        <v>70</v>
      </c>
      <c r="P253">
        <v>34.21</v>
      </c>
      <c r="Q253" t="str">
        <f t="shared" si="24"/>
        <v>2012-10</v>
      </c>
      <c r="R253">
        <f t="shared" si="25"/>
        <v>2196.8920094696587</v>
      </c>
      <c r="S253">
        <f t="shared" si="26"/>
        <v>7.8883016498012877</v>
      </c>
      <c r="T253" t="str">
        <f t="shared" si="27"/>
        <v>West Bengal</v>
      </c>
      <c r="U253" t="str">
        <f t="shared" si="28"/>
        <v>Kolkata</v>
      </c>
      <c r="V253" t="str">
        <f t="shared" si="29"/>
        <v>Pulses</v>
      </c>
      <c r="W253" t="str">
        <f t="shared" si="30"/>
        <v>Dap</v>
      </c>
      <c r="X253" t="str">
        <f t="shared" si="31"/>
        <v>Food</v>
      </c>
    </row>
    <row r="254" spans="1:24" x14ac:dyDescent="0.25">
      <c r="A254" t="s">
        <v>319</v>
      </c>
      <c r="B254" s="1">
        <v>44866</v>
      </c>
      <c r="C254">
        <v>2022</v>
      </c>
      <c r="D254" t="s">
        <v>59</v>
      </c>
      <c r="E254" t="s">
        <v>60</v>
      </c>
      <c r="F254" t="s">
        <v>38</v>
      </c>
      <c r="G254" t="s">
        <v>27</v>
      </c>
      <c r="H254">
        <v>31.6</v>
      </c>
      <c r="I254">
        <v>124.59</v>
      </c>
      <c r="J254">
        <v>3942.62</v>
      </c>
      <c r="K254" t="s">
        <v>21</v>
      </c>
      <c r="L254" t="s">
        <v>49</v>
      </c>
      <c r="M254">
        <v>64.040000000000006</v>
      </c>
      <c r="N254">
        <v>801.66</v>
      </c>
      <c r="O254" t="s">
        <v>23</v>
      </c>
      <c r="P254">
        <v>27.9</v>
      </c>
      <c r="Q254" t="str">
        <f t="shared" si="24"/>
        <v>2022-11</v>
      </c>
      <c r="R254">
        <f t="shared" si="25"/>
        <v>1595.5241698872949</v>
      </c>
      <c r="S254">
        <f t="shared" si="26"/>
        <v>24.914493595991484</v>
      </c>
      <c r="T254" t="str">
        <f t="shared" si="27"/>
        <v>Bihar</v>
      </c>
      <c r="U254" t="str">
        <f t="shared" si="28"/>
        <v>Patna</v>
      </c>
      <c r="V254" t="str">
        <f t="shared" si="29"/>
        <v>Pulses</v>
      </c>
      <c r="W254" t="str">
        <f t="shared" si="30"/>
        <v>Npk</v>
      </c>
      <c r="X254" t="str">
        <f t="shared" si="31"/>
        <v>Food</v>
      </c>
    </row>
    <row r="255" spans="1:24" x14ac:dyDescent="0.25">
      <c r="A255" t="s">
        <v>320</v>
      </c>
      <c r="B255" s="1">
        <v>44847</v>
      </c>
      <c r="C255">
        <v>2022</v>
      </c>
      <c r="D255" t="s">
        <v>59</v>
      </c>
      <c r="E255" t="s">
        <v>60</v>
      </c>
      <c r="F255" t="s">
        <v>33</v>
      </c>
      <c r="G255" t="s">
        <v>20</v>
      </c>
      <c r="H255">
        <v>71.98</v>
      </c>
      <c r="I255">
        <v>468.78</v>
      </c>
      <c r="J255">
        <v>6512.68</v>
      </c>
      <c r="K255" t="s">
        <v>34</v>
      </c>
      <c r="L255" t="s">
        <v>49</v>
      </c>
      <c r="M255">
        <v>64.89</v>
      </c>
      <c r="N255">
        <v>347.71</v>
      </c>
      <c r="O255" t="s">
        <v>42</v>
      </c>
      <c r="P255">
        <v>31.62</v>
      </c>
      <c r="Q255" t="str">
        <f t="shared" si="24"/>
        <v>2022-10</v>
      </c>
      <c r="R255">
        <f t="shared" si="25"/>
        <v>2635.5921571801464</v>
      </c>
      <c r="S255">
        <f t="shared" si="26"/>
        <v>40.616306937588938</v>
      </c>
      <c r="T255" t="str">
        <f t="shared" si="27"/>
        <v>Bihar</v>
      </c>
      <c r="U255" t="str">
        <f t="shared" si="28"/>
        <v>Patna</v>
      </c>
      <c r="V255" t="str">
        <f t="shared" si="29"/>
        <v>Maize</v>
      </c>
      <c r="W255" t="str">
        <f t="shared" si="30"/>
        <v>Npk</v>
      </c>
      <c r="X255" t="str">
        <f t="shared" si="31"/>
        <v>Food</v>
      </c>
    </row>
    <row r="256" spans="1:24" x14ac:dyDescent="0.25">
      <c r="A256" t="s">
        <v>321</v>
      </c>
      <c r="B256" s="1">
        <v>44318</v>
      </c>
      <c r="C256">
        <v>2021</v>
      </c>
      <c r="D256" t="s">
        <v>25</v>
      </c>
      <c r="E256" t="s">
        <v>87</v>
      </c>
      <c r="F256" t="s">
        <v>19</v>
      </c>
      <c r="G256" t="s">
        <v>46</v>
      </c>
      <c r="H256">
        <v>59.02</v>
      </c>
      <c r="I256">
        <v>178.2</v>
      </c>
      <c r="J256">
        <v>3019.37</v>
      </c>
      <c r="K256" t="s">
        <v>34</v>
      </c>
      <c r="L256" t="s">
        <v>49</v>
      </c>
      <c r="M256">
        <v>84.11</v>
      </c>
      <c r="N256">
        <v>357.5</v>
      </c>
      <c r="O256" t="s">
        <v>52</v>
      </c>
      <c r="P256">
        <v>31.88</v>
      </c>
      <c r="Q256" t="str">
        <f t="shared" si="24"/>
        <v>2021-05</v>
      </c>
      <c r="R256">
        <f t="shared" si="25"/>
        <v>1221.8975739058294</v>
      </c>
      <c r="S256">
        <f t="shared" si="26"/>
        <v>14.52737574492723</v>
      </c>
      <c r="T256" t="str">
        <f t="shared" si="27"/>
        <v>Punjab</v>
      </c>
      <c r="U256" t="str">
        <f t="shared" si="28"/>
        <v>Amritsar</v>
      </c>
      <c r="V256" t="str">
        <f t="shared" si="29"/>
        <v>Sugarcane</v>
      </c>
      <c r="W256" t="str">
        <f t="shared" si="30"/>
        <v>Npk</v>
      </c>
      <c r="X256" t="str">
        <f t="shared" si="31"/>
        <v>Cash</v>
      </c>
    </row>
    <row r="257" spans="1:24" x14ac:dyDescent="0.25">
      <c r="A257" t="s">
        <v>322</v>
      </c>
      <c r="B257" s="1">
        <v>43237</v>
      </c>
      <c r="C257">
        <v>2018</v>
      </c>
      <c r="D257" t="s">
        <v>103</v>
      </c>
      <c r="E257" t="s">
        <v>228</v>
      </c>
      <c r="F257" t="s">
        <v>19</v>
      </c>
      <c r="G257" t="s">
        <v>27</v>
      </c>
      <c r="H257">
        <v>78.91</v>
      </c>
      <c r="I257">
        <v>184.6</v>
      </c>
      <c r="J257">
        <v>2339.42</v>
      </c>
      <c r="K257" t="s">
        <v>40</v>
      </c>
      <c r="L257" t="s">
        <v>22</v>
      </c>
      <c r="M257">
        <v>144.6</v>
      </c>
      <c r="N257">
        <v>933.99</v>
      </c>
      <c r="O257" t="s">
        <v>70</v>
      </c>
      <c r="P257">
        <v>21.91</v>
      </c>
      <c r="Q257" t="str">
        <f t="shared" si="24"/>
        <v>2018-05</v>
      </c>
      <c r="R257">
        <f t="shared" si="25"/>
        <v>946.73114667853747</v>
      </c>
      <c r="S257">
        <f t="shared" si="26"/>
        <v>6.5472416782748102</v>
      </c>
      <c r="T257" t="str">
        <f t="shared" si="27"/>
        <v>Haryana</v>
      </c>
      <c r="U257" t="str">
        <f t="shared" si="28"/>
        <v>Hisar</v>
      </c>
      <c r="V257" t="str">
        <f t="shared" si="29"/>
        <v>Pulses</v>
      </c>
      <c r="W257" t="str">
        <f t="shared" si="30"/>
        <v>Urea</v>
      </c>
      <c r="X257" t="str">
        <f t="shared" si="31"/>
        <v>Food</v>
      </c>
    </row>
    <row r="258" spans="1:24" x14ac:dyDescent="0.25">
      <c r="A258" t="s">
        <v>323</v>
      </c>
      <c r="B258" s="1">
        <v>42508</v>
      </c>
      <c r="C258">
        <v>2016</v>
      </c>
      <c r="D258" t="s">
        <v>17</v>
      </c>
      <c r="E258" t="s">
        <v>54</v>
      </c>
      <c r="F258" t="s">
        <v>19</v>
      </c>
      <c r="G258" t="s">
        <v>64</v>
      </c>
      <c r="H258">
        <v>19.03</v>
      </c>
      <c r="I258">
        <v>55.36</v>
      </c>
      <c r="J258">
        <v>2909.3</v>
      </c>
      <c r="K258" t="s">
        <v>40</v>
      </c>
      <c r="L258" t="s">
        <v>22</v>
      </c>
      <c r="M258">
        <v>209.91</v>
      </c>
      <c r="N258">
        <v>304.11</v>
      </c>
      <c r="O258" t="s">
        <v>52</v>
      </c>
      <c r="P258">
        <v>22.11</v>
      </c>
      <c r="Q258" t="str">
        <f t="shared" ref="Q258:Q321" si="32">TEXT(B258,"yyyy-mm")</f>
        <v>2016-05</v>
      </c>
      <c r="R258">
        <f t="shared" ref="R258:R321" si="33">J258/2.47105</f>
        <v>1177.3537565002732</v>
      </c>
      <c r="S258">
        <f t="shared" ref="S258:S321" si="34">R258/M258</f>
        <v>5.6088502524904635</v>
      </c>
      <c r="T258" t="str">
        <f t="shared" ref="T258:T321" si="35">PROPER(TRIM(D258))</f>
        <v>Uttar Pradesh</v>
      </c>
      <c r="U258" t="str">
        <f t="shared" ref="U258:U321" si="36">PROPER(TRIM(E258))</f>
        <v>Varanasi</v>
      </c>
      <c r="V258" t="str">
        <f t="shared" ref="V258:V321" si="37">PROPER(TRIM(G258))</f>
        <v>Wheat</v>
      </c>
      <c r="W258" t="str">
        <f t="shared" ref="W258:W321" si="38">PROPER(TRIM(L258))</f>
        <v>Urea</v>
      </c>
      <c r="X258" t="str">
        <f t="shared" ref="X258:X321" si="39">IF(OR(V258="Wheat",V258="Rice",V258="Maize",V258="Pulses"),"Food","Cash")</f>
        <v>Food</v>
      </c>
    </row>
    <row r="259" spans="1:24" x14ac:dyDescent="0.25">
      <c r="A259" t="s">
        <v>324</v>
      </c>
      <c r="B259" s="1">
        <v>42245</v>
      </c>
      <c r="C259">
        <v>2015</v>
      </c>
      <c r="D259" t="s">
        <v>103</v>
      </c>
      <c r="E259" t="s">
        <v>107</v>
      </c>
      <c r="F259" t="s">
        <v>33</v>
      </c>
      <c r="G259" t="s">
        <v>39</v>
      </c>
      <c r="H259">
        <v>88.65</v>
      </c>
      <c r="I259">
        <v>135.84</v>
      </c>
      <c r="J259">
        <v>1532.36</v>
      </c>
      <c r="K259" t="s">
        <v>34</v>
      </c>
      <c r="L259" t="s">
        <v>49</v>
      </c>
      <c r="M259">
        <v>161.66</v>
      </c>
      <c r="N259">
        <v>465.21</v>
      </c>
      <c r="O259" t="s">
        <v>42</v>
      </c>
      <c r="P259">
        <v>30.4</v>
      </c>
      <c r="Q259" t="str">
        <f t="shared" si="32"/>
        <v>2015-08</v>
      </c>
      <c r="R259">
        <f t="shared" si="33"/>
        <v>620.12504805649417</v>
      </c>
      <c r="S259">
        <f t="shared" si="34"/>
        <v>3.8359832243999392</v>
      </c>
      <c r="T259" t="str">
        <f t="shared" si="35"/>
        <v>Haryana</v>
      </c>
      <c r="U259" t="str">
        <f t="shared" si="36"/>
        <v>Faridabad</v>
      </c>
      <c r="V259" t="str">
        <f t="shared" si="37"/>
        <v>Cotton</v>
      </c>
      <c r="W259" t="str">
        <f t="shared" si="38"/>
        <v>Npk</v>
      </c>
      <c r="X259" t="str">
        <f t="shared" si="39"/>
        <v>Cash</v>
      </c>
    </row>
    <row r="260" spans="1:24" x14ac:dyDescent="0.25">
      <c r="A260" t="s">
        <v>325</v>
      </c>
      <c r="B260" s="1">
        <v>44444</v>
      </c>
      <c r="C260">
        <v>2021</v>
      </c>
      <c r="D260" t="s">
        <v>44</v>
      </c>
      <c r="E260" t="s">
        <v>45</v>
      </c>
      <c r="F260" t="s">
        <v>33</v>
      </c>
      <c r="G260" t="s">
        <v>64</v>
      </c>
      <c r="H260">
        <v>39.21</v>
      </c>
      <c r="I260">
        <v>211.56</v>
      </c>
      <c r="J260">
        <v>5395.51</v>
      </c>
      <c r="K260" t="s">
        <v>40</v>
      </c>
      <c r="L260" t="s">
        <v>22</v>
      </c>
      <c r="M260">
        <v>271.14</v>
      </c>
      <c r="N260">
        <v>693.08</v>
      </c>
      <c r="O260" t="s">
        <v>52</v>
      </c>
      <c r="P260">
        <v>25.27</v>
      </c>
      <c r="Q260" t="str">
        <f t="shared" si="32"/>
        <v>2021-09</v>
      </c>
      <c r="R260">
        <f t="shared" si="33"/>
        <v>2183.4888003075616</v>
      </c>
      <c r="S260">
        <f t="shared" si="34"/>
        <v>8.0529940263611479</v>
      </c>
      <c r="T260" t="str">
        <f t="shared" si="35"/>
        <v>West Bengal</v>
      </c>
      <c r="U260" t="str">
        <f t="shared" si="36"/>
        <v>Kolkata</v>
      </c>
      <c r="V260" t="str">
        <f t="shared" si="37"/>
        <v>Wheat</v>
      </c>
      <c r="W260" t="str">
        <f t="shared" si="38"/>
        <v>Urea</v>
      </c>
      <c r="X260" t="str">
        <f t="shared" si="39"/>
        <v>Food</v>
      </c>
    </row>
    <row r="261" spans="1:24" x14ac:dyDescent="0.25">
      <c r="A261" t="s">
        <v>326</v>
      </c>
      <c r="B261" s="1">
        <v>44668</v>
      </c>
      <c r="C261">
        <v>2022</v>
      </c>
      <c r="D261" t="s">
        <v>44</v>
      </c>
      <c r="E261" t="s">
        <v>99</v>
      </c>
      <c r="F261" t="s">
        <v>19</v>
      </c>
      <c r="G261" t="s">
        <v>39</v>
      </c>
      <c r="H261">
        <v>76.069999999999993</v>
      </c>
      <c r="I261">
        <v>179.03</v>
      </c>
      <c r="J261">
        <v>2353.5</v>
      </c>
      <c r="K261" t="s">
        <v>28</v>
      </c>
      <c r="L261" t="s">
        <v>22</v>
      </c>
      <c r="M261">
        <v>68.430000000000007</v>
      </c>
      <c r="N261">
        <v>1045.76</v>
      </c>
      <c r="O261" t="s">
        <v>70</v>
      </c>
      <c r="P261">
        <v>20.3</v>
      </c>
      <c r="Q261" t="str">
        <f t="shared" si="32"/>
        <v>2022-04</v>
      </c>
      <c r="R261">
        <f t="shared" si="33"/>
        <v>952.42912931749663</v>
      </c>
      <c r="S261">
        <f t="shared" si="34"/>
        <v>13.918297958753421</v>
      </c>
      <c r="T261" t="str">
        <f t="shared" si="35"/>
        <v>West Bengal</v>
      </c>
      <c r="U261" t="str">
        <f t="shared" si="36"/>
        <v>Howrah</v>
      </c>
      <c r="V261" t="str">
        <f t="shared" si="37"/>
        <v>Cotton</v>
      </c>
      <c r="W261" t="str">
        <f t="shared" si="38"/>
        <v>Urea</v>
      </c>
      <c r="X261" t="str">
        <f t="shared" si="39"/>
        <v>Cash</v>
      </c>
    </row>
    <row r="262" spans="1:24" x14ac:dyDescent="0.25">
      <c r="A262" t="s">
        <v>327</v>
      </c>
      <c r="B262" s="1">
        <v>41324</v>
      </c>
      <c r="C262">
        <v>2012</v>
      </c>
      <c r="D262" t="s">
        <v>25</v>
      </c>
      <c r="E262" t="s">
        <v>87</v>
      </c>
      <c r="F262" t="s">
        <v>38</v>
      </c>
      <c r="G262" t="s">
        <v>56</v>
      </c>
      <c r="H262">
        <v>73.47</v>
      </c>
      <c r="I262">
        <v>314.62</v>
      </c>
      <c r="J262">
        <v>4282.28</v>
      </c>
      <c r="K262" t="s">
        <v>21</v>
      </c>
      <c r="L262" t="s">
        <v>41</v>
      </c>
      <c r="M262">
        <v>134.49</v>
      </c>
      <c r="N262">
        <v>1185.28</v>
      </c>
      <c r="O262" t="s">
        <v>52</v>
      </c>
      <c r="P262">
        <v>30.57</v>
      </c>
      <c r="Q262" t="str">
        <f t="shared" si="32"/>
        <v>2013-02</v>
      </c>
      <c r="R262">
        <f t="shared" si="33"/>
        <v>1732.9799073268448</v>
      </c>
      <c r="S262">
        <f t="shared" si="34"/>
        <v>12.885567011129785</v>
      </c>
      <c r="T262" t="str">
        <f t="shared" si="35"/>
        <v>Punjab</v>
      </c>
      <c r="U262" t="str">
        <f t="shared" si="36"/>
        <v>Amritsar</v>
      </c>
      <c r="V262" t="str">
        <f t="shared" si="37"/>
        <v>Rice</v>
      </c>
      <c r="W262" t="str">
        <f t="shared" si="38"/>
        <v>Dap</v>
      </c>
      <c r="X262" t="str">
        <f t="shared" si="39"/>
        <v>Food</v>
      </c>
    </row>
    <row r="263" spans="1:24" x14ac:dyDescent="0.25">
      <c r="A263" t="s">
        <v>328</v>
      </c>
      <c r="B263" s="1">
        <v>41133</v>
      </c>
      <c r="C263">
        <v>2012</v>
      </c>
      <c r="D263" t="s">
        <v>59</v>
      </c>
      <c r="E263" t="s">
        <v>63</v>
      </c>
      <c r="F263" t="s">
        <v>33</v>
      </c>
      <c r="G263" t="s">
        <v>64</v>
      </c>
      <c r="H263">
        <v>33.78</v>
      </c>
      <c r="I263">
        <v>231.27</v>
      </c>
      <c r="J263">
        <v>6846.39</v>
      </c>
      <c r="K263" t="s">
        <v>28</v>
      </c>
      <c r="L263" t="s">
        <v>49</v>
      </c>
      <c r="M263">
        <v>224.3</v>
      </c>
      <c r="N263">
        <v>922.04</v>
      </c>
      <c r="O263" t="s">
        <v>61</v>
      </c>
      <c r="P263">
        <v>23.98</v>
      </c>
      <c r="Q263" t="str">
        <f t="shared" si="32"/>
        <v>2012-08</v>
      </c>
      <c r="R263">
        <f t="shared" si="33"/>
        <v>2770.6400113312156</v>
      </c>
      <c r="S263">
        <f t="shared" si="34"/>
        <v>12.352385248913132</v>
      </c>
      <c r="T263" t="str">
        <f t="shared" si="35"/>
        <v>Bihar</v>
      </c>
      <c r="U263" t="str">
        <f t="shared" si="36"/>
        <v>Gaya</v>
      </c>
      <c r="V263" t="str">
        <f t="shared" si="37"/>
        <v>Wheat</v>
      </c>
      <c r="W263" t="str">
        <f t="shared" si="38"/>
        <v>Npk</v>
      </c>
      <c r="X263" t="str">
        <f t="shared" si="39"/>
        <v>Food</v>
      </c>
    </row>
    <row r="264" spans="1:24" x14ac:dyDescent="0.25">
      <c r="A264" t="s">
        <v>329</v>
      </c>
      <c r="B264" s="1">
        <v>40605</v>
      </c>
      <c r="C264">
        <v>2010</v>
      </c>
      <c r="D264" t="s">
        <v>103</v>
      </c>
      <c r="E264" t="s">
        <v>104</v>
      </c>
      <c r="F264" t="s">
        <v>38</v>
      </c>
      <c r="G264" t="s">
        <v>27</v>
      </c>
      <c r="H264">
        <v>55.42</v>
      </c>
      <c r="I264">
        <v>218.67</v>
      </c>
      <c r="J264">
        <v>3945.69</v>
      </c>
      <c r="K264" t="s">
        <v>21</v>
      </c>
      <c r="L264" t="s">
        <v>41</v>
      </c>
      <c r="M264">
        <v>140.21</v>
      </c>
      <c r="N264">
        <v>627.61</v>
      </c>
      <c r="O264" t="s">
        <v>70</v>
      </c>
      <c r="P264">
        <v>32.36</v>
      </c>
      <c r="Q264" t="str">
        <f t="shared" si="32"/>
        <v>2011-03</v>
      </c>
      <c r="R264">
        <f t="shared" si="33"/>
        <v>1596.7665567268975</v>
      </c>
      <c r="S264">
        <f t="shared" si="34"/>
        <v>11.388392815968173</v>
      </c>
      <c r="T264" t="str">
        <f t="shared" si="35"/>
        <v>Haryana</v>
      </c>
      <c r="U264" t="str">
        <f t="shared" si="36"/>
        <v>Gurgaon</v>
      </c>
      <c r="V264" t="str">
        <f t="shared" si="37"/>
        <v>Pulses</v>
      </c>
      <c r="W264" t="str">
        <f t="shared" si="38"/>
        <v>Dap</v>
      </c>
      <c r="X264" t="str">
        <f t="shared" si="39"/>
        <v>Food</v>
      </c>
    </row>
    <row r="265" spans="1:24" x14ac:dyDescent="0.25">
      <c r="A265" t="s">
        <v>330</v>
      </c>
      <c r="B265" s="1">
        <v>41493</v>
      </c>
      <c r="C265">
        <v>2013</v>
      </c>
      <c r="D265" t="s">
        <v>25</v>
      </c>
      <c r="E265" t="s">
        <v>26</v>
      </c>
      <c r="F265" t="s">
        <v>33</v>
      </c>
      <c r="G265" t="s">
        <v>39</v>
      </c>
      <c r="H265">
        <v>29.89</v>
      </c>
      <c r="I265">
        <v>44.58</v>
      </c>
      <c r="J265">
        <v>1491.62</v>
      </c>
      <c r="K265" t="s">
        <v>21</v>
      </c>
      <c r="L265" t="s">
        <v>22</v>
      </c>
      <c r="M265">
        <v>127.09</v>
      </c>
      <c r="N265">
        <v>597.47</v>
      </c>
      <c r="O265" t="s">
        <v>52</v>
      </c>
      <c r="P265">
        <v>33.42</v>
      </c>
      <c r="Q265" t="str">
        <f t="shared" si="32"/>
        <v>2013-08</v>
      </c>
      <c r="R265">
        <f t="shared" si="33"/>
        <v>603.63812954007403</v>
      </c>
      <c r="S265">
        <f t="shared" si="34"/>
        <v>4.7496902159105678</v>
      </c>
      <c r="T265" t="str">
        <f t="shared" si="35"/>
        <v>Punjab</v>
      </c>
      <c r="U265" t="str">
        <f t="shared" si="36"/>
        <v>Ludhiana</v>
      </c>
      <c r="V265" t="str">
        <f t="shared" si="37"/>
        <v>Cotton</v>
      </c>
      <c r="W265" t="str">
        <f t="shared" si="38"/>
        <v>Urea</v>
      </c>
      <c r="X265" t="str">
        <f t="shared" si="39"/>
        <v>Cash</v>
      </c>
    </row>
    <row r="266" spans="1:24" x14ac:dyDescent="0.25">
      <c r="A266" t="s">
        <v>331</v>
      </c>
      <c r="B266" s="1">
        <v>42590</v>
      </c>
      <c r="C266">
        <v>2016</v>
      </c>
      <c r="D266" t="s">
        <v>17</v>
      </c>
      <c r="E266" t="s">
        <v>54</v>
      </c>
      <c r="F266" t="s">
        <v>33</v>
      </c>
      <c r="G266" t="s">
        <v>20</v>
      </c>
      <c r="H266">
        <v>88.66</v>
      </c>
      <c r="I266">
        <v>285.17</v>
      </c>
      <c r="J266">
        <v>3216.41</v>
      </c>
      <c r="K266" t="s">
        <v>28</v>
      </c>
      <c r="L266" t="s">
        <v>47</v>
      </c>
      <c r="M266">
        <v>61.15</v>
      </c>
      <c r="N266">
        <v>639.74</v>
      </c>
      <c r="O266" t="s">
        <v>70</v>
      </c>
      <c r="P266">
        <v>23.39</v>
      </c>
      <c r="Q266" t="str">
        <f t="shared" si="32"/>
        <v>2016-08</v>
      </c>
      <c r="R266">
        <f t="shared" si="33"/>
        <v>1301.6369559498999</v>
      </c>
      <c r="S266">
        <f t="shared" si="34"/>
        <v>21.285968208502041</v>
      </c>
      <c r="T266" t="str">
        <f t="shared" si="35"/>
        <v>Uttar Pradesh</v>
      </c>
      <c r="U266" t="str">
        <f t="shared" si="36"/>
        <v>Varanasi</v>
      </c>
      <c r="V266" t="str">
        <f t="shared" si="37"/>
        <v>Maize</v>
      </c>
      <c r="W266" t="str">
        <f t="shared" si="38"/>
        <v>Vermicompost</v>
      </c>
      <c r="X266" t="str">
        <f t="shared" si="39"/>
        <v>Food</v>
      </c>
    </row>
    <row r="267" spans="1:24" x14ac:dyDescent="0.25">
      <c r="A267" t="s">
        <v>332</v>
      </c>
      <c r="B267" s="1">
        <v>44676</v>
      </c>
      <c r="C267">
        <v>2022</v>
      </c>
      <c r="D267" t="s">
        <v>25</v>
      </c>
      <c r="E267" t="s">
        <v>26</v>
      </c>
      <c r="F267" t="s">
        <v>19</v>
      </c>
      <c r="G267" t="s">
        <v>39</v>
      </c>
      <c r="H267">
        <v>10.57</v>
      </c>
      <c r="I267">
        <v>52.94</v>
      </c>
      <c r="J267">
        <v>5008.8500000000004</v>
      </c>
      <c r="K267" t="s">
        <v>28</v>
      </c>
      <c r="L267" t="s">
        <v>47</v>
      </c>
      <c r="M267">
        <v>292.68</v>
      </c>
      <c r="N267">
        <v>789.73</v>
      </c>
      <c r="O267" t="s">
        <v>61</v>
      </c>
      <c r="P267">
        <v>20.91</v>
      </c>
      <c r="Q267" t="str">
        <f t="shared" si="32"/>
        <v>2022-04</v>
      </c>
      <c r="R267">
        <f t="shared" si="33"/>
        <v>2027.0128083203499</v>
      </c>
      <c r="S267">
        <f t="shared" si="34"/>
        <v>6.9256963520580497</v>
      </c>
      <c r="T267" t="str">
        <f t="shared" si="35"/>
        <v>Punjab</v>
      </c>
      <c r="U267" t="str">
        <f t="shared" si="36"/>
        <v>Ludhiana</v>
      </c>
      <c r="V267" t="str">
        <f t="shared" si="37"/>
        <v>Cotton</v>
      </c>
      <c r="W267" t="str">
        <f t="shared" si="38"/>
        <v>Vermicompost</v>
      </c>
      <c r="X267" t="str">
        <f t="shared" si="39"/>
        <v>Cash</v>
      </c>
    </row>
    <row r="268" spans="1:24" x14ac:dyDescent="0.25">
      <c r="A268" t="s">
        <v>333</v>
      </c>
      <c r="B268" s="1">
        <v>44268</v>
      </c>
      <c r="C268">
        <v>2020</v>
      </c>
      <c r="D268" t="s">
        <v>36</v>
      </c>
      <c r="E268" t="s">
        <v>77</v>
      </c>
      <c r="F268" t="s">
        <v>38</v>
      </c>
      <c r="G268" t="s">
        <v>27</v>
      </c>
      <c r="H268">
        <v>88.28</v>
      </c>
      <c r="I268">
        <v>340.55</v>
      </c>
      <c r="J268">
        <v>3857.57</v>
      </c>
      <c r="K268" t="s">
        <v>21</v>
      </c>
      <c r="L268" t="s">
        <v>47</v>
      </c>
      <c r="M268">
        <v>148.69999999999999</v>
      </c>
      <c r="N268">
        <v>1053.94</v>
      </c>
      <c r="O268" t="s">
        <v>23</v>
      </c>
      <c r="P268">
        <v>27.53</v>
      </c>
      <c r="Q268" t="str">
        <f t="shared" si="32"/>
        <v>2021-03</v>
      </c>
      <c r="R268">
        <f t="shared" si="33"/>
        <v>1561.1056028813664</v>
      </c>
      <c r="S268">
        <f t="shared" si="34"/>
        <v>10.498356441703876</v>
      </c>
      <c r="T268" t="str">
        <f t="shared" si="35"/>
        <v>Karnataka</v>
      </c>
      <c r="U268" t="str">
        <f t="shared" si="36"/>
        <v>Hubli</v>
      </c>
      <c r="V268" t="str">
        <f t="shared" si="37"/>
        <v>Pulses</v>
      </c>
      <c r="W268" t="str">
        <f t="shared" si="38"/>
        <v>Vermicompost</v>
      </c>
      <c r="X268" t="str">
        <f t="shared" si="39"/>
        <v>Food</v>
      </c>
    </row>
    <row r="269" spans="1:24" x14ac:dyDescent="0.25">
      <c r="A269" t="s">
        <v>334</v>
      </c>
      <c r="B269" s="1">
        <v>41172</v>
      </c>
      <c r="C269">
        <v>2012</v>
      </c>
      <c r="D269" t="s">
        <v>17</v>
      </c>
      <c r="E269" t="s">
        <v>54</v>
      </c>
      <c r="F269" t="s">
        <v>33</v>
      </c>
      <c r="G269" t="s">
        <v>46</v>
      </c>
      <c r="H269">
        <v>18.12</v>
      </c>
      <c r="I269">
        <v>125.14</v>
      </c>
      <c r="J269">
        <v>6906.21</v>
      </c>
      <c r="K269" t="s">
        <v>40</v>
      </c>
      <c r="L269" t="s">
        <v>41</v>
      </c>
      <c r="M269">
        <v>252.12</v>
      </c>
      <c r="N269">
        <v>326.19</v>
      </c>
      <c r="O269" t="s">
        <v>52</v>
      </c>
      <c r="P269">
        <v>21.18</v>
      </c>
      <c r="Q269" t="str">
        <f t="shared" si="32"/>
        <v>2012-09</v>
      </c>
      <c r="R269">
        <f t="shared" si="33"/>
        <v>2794.8483438214525</v>
      </c>
      <c r="S269">
        <f t="shared" si="34"/>
        <v>11.085389274240253</v>
      </c>
      <c r="T269" t="str">
        <f t="shared" si="35"/>
        <v>Uttar Pradesh</v>
      </c>
      <c r="U269" t="str">
        <f t="shared" si="36"/>
        <v>Varanasi</v>
      </c>
      <c r="V269" t="str">
        <f t="shared" si="37"/>
        <v>Sugarcane</v>
      </c>
      <c r="W269" t="str">
        <f t="shared" si="38"/>
        <v>Dap</v>
      </c>
      <c r="X269" t="str">
        <f t="shared" si="39"/>
        <v>Cash</v>
      </c>
    </row>
    <row r="270" spans="1:24" x14ac:dyDescent="0.25">
      <c r="A270" t="s">
        <v>335</v>
      </c>
      <c r="B270" s="1">
        <v>41017</v>
      </c>
      <c r="C270">
        <v>2012</v>
      </c>
      <c r="D270" t="s">
        <v>44</v>
      </c>
      <c r="E270" t="s">
        <v>67</v>
      </c>
      <c r="F270" t="s">
        <v>19</v>
      </c>
      <c r="G270" t="s">
        <v>20</v>
      </c>
      <c r="H270">
        <v>32.659999999999997</v>
      </c>
      <c r="I270">
        <v>175.14</v>
      </c>
      <c r="J270">
        <v>5362.62</v>
      </c>
      <c r="K270" t="s">
        <v>21</v>
      </c>
      <c r="L270" t="s">
        <v>47</v>
      </c>
      <c r="M270">
        <v>71.760000000000005</v>
      </c>
      <c r="N270">
        <v>756.36</v>
      </c>
      <c r="O270" t="s">
        <v>61</v>
      </c>
      <c r="P270">
        <v>24.89</v>
      </c>
      <c r="Q270" t="str">
        <f t="shared" si="32"/>
        <v>2012-04</v>
      </c>
      <c r="R270">
        <f t="shared" si="33"/>
        <v>2170.1786689868677</v>
      </c>
      <c r="S270">
        <f t="shared" si="34"/>
        <v>30.24217766146694</v>
      </c>
      <c r="T270" t="str">
        <f t="shared" si="35"/>
        <v>West Bengal</v>
      </c>
      <c r="U270" t="str">
        <f t="shared" si="36"/>
        <v>Darjeeling</v>
      </c>
      <c r="V270" t="str">
        <f t="shared" si="37"/>
        <v>Maize</v>
      </c>
      <c r="W270" t="str">
        <f t="shared" si="38"/>
        <v>Vermicompost</v>
      </c>
      <c r="X270" t="str">
        <f t="shared" si="39"/>
        <v>Food</v>
      </c>
    </row>
    <row r="271" spans="1:24" x14ac:dyDescent="0.25">
      <c r="A271" t="s">
        <v>336</v>
      </c>
      <c r="B271" s="1">
        <v>44712</v>
      </c>
      <c r="C271">
        <v>2022</v>
      </c>
      <c r="D271" t="s">
        <v>36</v>
      </c>
      <c r="E271" t="s">
        <v>37</v>
      </c>
      <c r="F271" t="s">
        <v>19</v>
      </c>
      <c r="G271" t="s">
        <v>27</v>
      </c>
      <c r="H271">
        <v>59.17</v>
      </c>
      <c r="I271">
        <v>336.68</v>
      </c>
      <c r="J271">
        <v>5690.11</v>
      </c>
      <c r="K271" t="s">
        <v>21</v>
      </c>
      <c r="L271" t="s">
        <v>22</v>
      </c>
      <c r="M271">
        <v>153.61000000000001</v>
      </c>
      <c r="N271">
        <v>348.2</v>
      </c>
      <c r="O271" t="s">
        <v>61</v>
      </c>
      <c r="P271">
        <v>28.74</v>
      </c>
      <c r="Q271" t="str">
        <f t="shared" si="32"/>
        <v>2022-05</v>
      </c>
      <c r="R271">
        <f t="shared" si="33"/>
        <v>2302.7093745573743</v>
      </c>
      <c r="S271">
        <f t="shared" si="34"/>
        <v>14.990621538684813</v>
      </c>
      <c r="T271" t="str">
        <f t="shared" si="35"/>
        <v>Karnataka</v>
      </c>
      <c r="U271" t="str">
        <f t="shared" si="36"/>
        <v>Bangalore</v>
      </c>
      <c r="V271" t="str">
        <f t="shared" si="37"/>
        <v>Pulses</v>
      </c>
      <c r="W271" t="str">
        <f t="shared" si="38"/>
        <v>Urea</v>
      </c>
      <c r="X271" t="str">
        <f t="shared" si="39"/>
        <v>Food</v>
      </c>
    </row>
    <row r="272" spans="1:24" x14ac:dyDescent="0.25">
      <c r="A272" t="s">
        <v>337</v>
      </c>
      <c r="B272" s="1">
        <v>44722</v>
      </c>
      <c r="C272">
        <v>2022</v>
      </c>
      <c r="D272" t="s">
        <v>25</v>
      </c>
      <c r="E272" t="s">
        <v>69</v>
      </c>
      <c r="F272" t="s">
        <v>33</v>
      </c>
      <c r="G272" t="s">
        <v>20</v>
      </c>
      <c r="H272">
        <v>86.88</v>
      </c>
      <c r="I272">
        <v>545.67999999999995</v>
      </c>
      <c r="J272">
        <v>6280.81</v>
      </c>
      <c r="K272" t="s">
        <v>28</v>
      </c>
      <c r="L272" t="s">
        <v>41</v>
      </c>
      <c r="M272">
        <v>116.03</v>
      </c>
      <c r="N272">
        <v>854.79</v>
      </c>
      <c r="O272" t="s">
        <v>61</v>
      </c>
      <c r="P272">
        <v>29.13</v>
      </c>
      <c r="Q272" t="str">
        <f t="shared" si="32"/>
        <v>2022-06</v>
      </c>
      <c r="R272">
        <f t="shared" si="33"/>
        <v>2541.7575524574577</v>
      </c>
      <c r="S272">
        <f t="shared" si="34"/>
        <v>21.906037683852947</v>
      </c>
      <c r="T272" t="str">
        <f t="shared" si="35"/>
        <v>Punjab</v>
      </c>
      <c r="U272" t="str">
        <f t="shared" si="36"/>
        <v>Patiala</v>
      </c>
      <c r="V272" t="str">
        <f t="shared" si="37"/>
        <v>Maize</v>
      </c>
      <c r="W272" t="str">
        <f t="shared" si="38"/>
        <v>Dap</v>
      </c>
      <c r="X272" t="str">
        <f t="shared" si="39"/>
        <v>Food</v>
      </c>
    </row>
    <row r="273" spans="1:24" x14ac:dyDescent="0.25">
      <c r="A273" t="s">
        <v>338</v>
      </c>
      <c r="B273" s="1">
        <v>41030</v>
      </c>
      <c r="C273">
        <v>2012</v>
      </c>
      <c r="D273" t="s">
        <v>31</v>
      </c>
      <c r="E273" t="s">
        <v>32</v>
      </c>
      <c r="F273" t="s">
        <v>19</v>
      </c>
      <c r="G273" t="s">
        <v>27</v>
      </c>
      <c r="H273">
        <v>68.400000000000006</v>
      </c>
      <c r="I273">
        <v>233.27</v>
      </c>
      <c r="J273">
        <v>3410.32</v>
      </c>
      <c r="K273" t="s">
        <v>28</v>
      </c>
      <c r="L273" t="s">
        <v>49</v>
      </c>
      <c r="M273">
        <v>272.39</v>
      </c>
      <c r="N273">
        <v>531.49</v>
      </c>
      <c r="O273" t="s">
        <v>42</v>
      </c>
      <c r="P273">
        <v>20.74</v>
      </c>
      <c r="Q273" t="str">
        <f t="shared" si="32"/>
        <v>2012-05</v>
      </c>
      <c r="R273">
        <f t="shared" si="33"/>
        <v>1380.1096699783493</v>
      </c>
      <c r="S273">
        <f t="shared" si="34"/>
        <v>5.0666679025601136</v>
      </c>
      <c r="T273" t="str">
        <f t="shared" si="35"/>
        <v>Maharashtra</v>
      </c>
      <c r="U273" t="str">
        <f t="shared" si="36"/>
        <v>Pune</v>
      </c>
      <c r="V273" t="str">
        <f t="shared" si="37"/>
        <v>Pulses</v>
      </c>
      <c r="W273" t="str">
        <f t="shared" si="38"/>
        <v>Npk</v>
      </c>
      <c r="X273" t="str">
        <f t="shared" si="39"/>
        <v>Food</v>
      </c>
    </row>
    <row r="274" spans="1:24" x14ac:dyDescent="0.25">
      <c r="A274" t="s">
        <v>339</v>
      </c>
      <c r="B274" s="1">
        <v>42422</v>
      </c>
      <c r="C274">
        <v>2015</v>
      </c>
      <c r="D274" t="s">
        <v>31</v>
      </c>
      <c r="E274" t="s">
        <v>82</v>
      </c>
      <c r="F274" t="s">
        <v>38</v>
      </c>
      <c r="G274" t="s">
        <v>20</v>
      </c>
      <c r="H274">
        <v>28.75</v>
      </c>
      <c r="I274">
        <v>113.55</v>
      </c>
      <c r="J274">
        <v>3949.72</v>
      </c>
      <c r="K274" t="s">
        <v>21</v>
      </c>
      <c r="L274" t="s">
        <v>49</v>
      </c>
      <c r="M274">
        <v>293.12</v>
      </c>
      <c r="N274">
        <v>427.96</v>
      </c>
      <c r="O274" t="s">
        <v>70</v>
      </c>
      <c r="P274">
        <v>34.61</v>
      </c>
      <c r="Q274" t="str">
        <f t="shared" si="32"/>
        <v>2016-02</v>
      </c>
      <c r="R274">
        <f t="shared" si="33"/>
        <v>1598.3974423827926</v>
      </c>
      <c r="S274">
        <f t="shared" si="34"/>
        <v>5.4530480430635668</v>
      </c>
      <c r="T274" t="str">
        <f t="shared" si="35"/>
        <v>Maharashtra</v>
      </c>
      <c r="U274" t="str">
        <f t="shared" si="36"/>
        <v>Nagpur</v>
      </c>
      <c r="V274" t="str">
        <f t="shared" si="37"/>
        <v>Maize</v>
      </c>
      <c r="W274" t="str">
        <f t="shared" si="38"/>
        <v>Npk</v>
      </c>
      <c r="X274" t="str">
        <f t="shared" si="39"/>
        <v>Food</v>
      </c>
    </row>
    <row r="275" spans="1:24" x14ac:dyDescent="0.25">
      <c r="A275" t="s">
        <v>340</v>
      </c>
      <c r="B275" s="1">
        <v>42493</v>
      </c>
      <c r="C275">
        <v>2016</v>
      </c>
      <c r="D275" t="s">
        <v>31</v>
      </c>
      <c r="E275" t="s">
        <v>117</v>
      </c>
      <c r="F275" t="s">
        <v>19</v>
      </c>
      <c r="G275" t="s">
        <v>39</v>
      </c>
      <c r="H275">
        <v>9.84</v>
      </c>
      <c r="I275">
        <v>35.92</v>
      </c>
      <c r="J275">
        <v>3650.3</v>
      </c>
      <c r="K275" t="s">
        <v>28</v>
      </c>
      <c r="L275" t="s">
        <v>41</v>
      </c>
      <c r="M275">
        <v>235.24</v>
      </c>
      <c r="N275">
        <v>959.49</v>
      </c>
      <c r="O275" t="s">
        <v>70</v>
      </c>
      <c r="P275">
        <v>32.32</v>
      </c>
      <c r="Q275" t="str">
        <f t="shared" si="32"/>
        <v>2016-05</v>
      </c>
      <c r="R275">
        <f t="shared" si="33"/>
        <v>1477.2262803261772</v>
      </c>
      <c r="S275">
        <f t="shared" si="34"/>
        <v>6.2796560122690748</v>
      </c>
      <c r="T275" t="str">
        <f t="shared" si="35"/>
        <v>Maharashtra</v>
      </c>
      <c r="U275" t="str">
        <f t="shared" si="36"/>
        <v>Mumbai</v>
      </c>
      <c r="V275" t="str">
        <f t="shared" si="37"/>
        <v>Cotton</v>
      </c>
      <c r="W275" t="str">
        <f t="shared" si="38"/>
        <v>Dap</v>
      </c>
      <c r="X275" t="str">
        <f t="shared" si="39"/>
        <v>Cash</v>
      </c>
    </row>
    <row r="276" spans="1:24" x14ac:dyDescent="0.25">
      <c r="A276" t="s">
        <v>341</v>
      </c>
      <c r="B276" s="1">
        <v>44302</v>
      </c>
      <c r="C276">
        <v>2021</v>
      </c>
      <c r="D276" t="s">
        <v>25</v>
      </c>
      <c r="E276" t="s">
        <v>87</v>
      </c>
      <c r="F276" t="s">
        <v>19</v>
      </c>
      <c r="G276" t="s">
        <v>46</v>
      </c>
      <c r="H276">
        <v>14.43</v>
      </c>
      <c r="I276">
        <v>88.14</v>
      </c>
      <c r="J276">
        <v>6107.77</v>
      </c>
      <c r="K276" t="s">
        <v>21</v>
      </c>
      <c r="L276" t="s">
        <v>22</v>
      </c>
      <c r="M276">
        <v>93.43</v>
      </c>
      <c r="N276">
        <v>1075.18</v>
      </c>
      <c r="O276" t="s">
        <v>42</v>
      </c>
      <c r="P276">
        <v>32.549999999999997</v>
      </c>
      <c r="Q276" t="str">
        <f t="shared" si="32"/>
        <v>2021-04</v>
      </c>
      <c r="R276">
        <f t="shared" si="33"/>
        <v>2471.7306408207041</v>
      </c>
      <c r="S276">
        <f t="shared" si="34"/>
        <v>26.45542802976243</v>
      </c>
      <c r="T276" t="str">
        <f t="shared" si="35"/>
        <v>Punjab</v>
      </c>
      <c r="U276" t="str">
        <f t="shared" si="36"/>
        <v>Amritsar</v>
      </c>
      <c r="V276" t="str">
        <f t="shared" si="37"/>
        <v>Sugarcane</v>
      </c>
      <c r="W276" t="str">
        <f t="shared" si="38"/>
        <v>Urea</v>
      </c>
      <c r="X276" t="str">
        <f t="shared" si="39"/>
        <v>Cash</v>
      </c>
    </row>
    <row r="277" spans="1:24" x14ac:dyDescent="0.25">
      <c r="A277" t="s">
        <v>342</v>
      </c>
      <c r="B277" s="1">
        <v>42126</v>
      </c>
      <c r="C277">
        <v>2015</v>
      </c>
      <c r="D277" t="s">
        <v>36</v>
      </c>
      <c r="E277" t="s">
        <v>37</v>
      </c>
      <c r="F277" t="s">
        <v>19</v>
      </c>
      <c r="G277" t="s">
        <v>56</v>
      </c>
      <c r="H277">
        <v>28.12</v>
      </c>
      <c r="I277">
        <v>167.06</v>
      </c>
      <c r="J277">
        <v>5941.04</v>
      </c>
      <c r="K277" t="s">
        <v>28</v>
      </c>
      <c r="L277" t="s">
        <v>47</v>
      </c>
      <c r="M277">
        <v>208.85</v>
      </c>
      <c r="N277">
        <v>323.87</v>
      </c>
      <c r="O277" t="s">
        <v>23</v>
      </c>
      <c r="P277">
        <v>23.63</v>
      </c>
      <c r="Q277" t="str">
        <f t="shared" si="32"/>
        <v>2015-05</v>
      </c>
      <c r="R277">
        <f t="shared" si="33"/>
        <v>2404.2572995285404</v>
      </c>
      <c r="S277">
        <f t="shared" si="34"/>
        <v>11.511885561544364</v>
      </c>
      <c r="T277" t="str">
        <f t="shared" si="35"/>
        <v>Karnataka</v>
      </c>
      <c r="U277" t="str">
        <f t="shared" si="36"/>
        <v>Bangalore</v>
      </c>
      <c r="V277" t="str">
        <f t="shared" si="37"/>
        <v>Rice</v>
      </c>
      <c r="W277" t="str">
        <f t="shared" si="38"/>
        <v>Vermicompost</v>
      </c>
      <c r="X277" t="str">
        <f t="shared" si="39"/>
        <v>Food</v>
      </c>
    </row>
    <row r="278" spans="1:24" x14ac:dyDescent="0.25">
      <c r="A278" t="s">
        <v>343</v>
      </c>
      <c r="B278" s="1">
        <v>42829</v>
      </c>
      <c r="C278">
        <v>2017</v>
      </c>
      <c r="D278" t="s">
        <v>36</v>
      </c>
      <c r="E278" t="s">
        <v>37</v>
      </c>
      <c r="F278" t="s">
        <v>19</v>
      </c>
      <c r="G278" t="s">
        <v>27</v>
      </c>
      <c r="H278">
        <v>35.630000000000003</v>
      </c>
      <c r="I278">
        <v>70.59</v>
      </c>
      <c r="J278">
        <v>1981.08</v>
      </c>
      <c r="K278" t="s">
        <v>34</v>
      </c>
      <c r="L278" t="s">
        <v>41</v>
      </c>
      <c r="M278">
        <v>237.24</v>
      </c>
      <c r="N278">
        <v>888.85</v>
      </c>
      <c r="O278" t="s">
        <v>70</v>
      </c>
      <c r="P278">
        <v>20.41</v>
      </c>
      <c r="Q278" t="str">
        <f t="shared" si="32"/>
        <v>2017-04</v>
      </c>
      <c r="R278">
        <f t="shared" si="33"/>
        <v>801.71586977195932</v>
      </c>
      <c r="S278">
        <f t="shared" si="34"/>
        <v>3.379345261220533</v>
      </c>
      <c r="T278" t="str">
        <f t="shared" si="35"/>
        <v>Karnataka</v>
      </c>
      <c r="U278" t="str">
        <f t="shared" si="36"/>
        <v>Bangalore</v>
      </c>
      <c r="V278" t="str">
        <f t="shared" si="37"/>
        <v>Pulses</v>
      </c>
      <c r="W278" t="str">
        <f t="shared" si="38"/>
        <v>Dap</v>
      </c>
      <c r="X278" t="str">
        <f t="shared" si="39"/>
        <v>Food</v>
      </c>
    </row>
    <row r="279" spans="1:24" x14ac:dyDescent="0.25">
      <c r="A279" t="s">
        <v>344</v>
      </c>
      <c r="B279" s="1">
        <v>44746</v>
      </c>
      <c r="C279">
        <v>2022</v>
      </c>
      <c r="D279" t="s">
        <v>44</v>
      </c>
      <c r="E279" t="s">
        <v>67</v>
      </c>
      <c r="F279" t="s">
        <v>33</v>
      </c>
      <c r="G279" t="s">
        <v>56</v>
      </c>
      <c r="H279">
        <v>65.09</v>
      </c>
      <c r="I279">
        <v>329.76</v>
      </c>
      <c r="J279">
        <v>5066.17</v>
      </c>
      <c r="K279" t="s">
        <v>34</v>
      </c>
      <c r="L279" t="s">
        <v>41</v>
      </c>
      <c r="M279">
        <v>212.9</v>
      </c>
      <c r="N279">
        <v>713.28</v>
      </c>
      <c r="O279" t="s">
        <v>23</v>
      </c>
      <c r="P279">
        <v>27.11</v>
      </c>
      <c r="Q279" t="str">
        <f t="shared" si="32"/>
        <v>2022-07</v>
      </c>
      <c r="R279">
        <f t="shared" si="33"/>
        <v>2050.2094251431577</v>
      </c>
      <c r="S279">
        <f t="shared" si="34"/>
        <v>9.629917450179228</v>
      </c>
      <c r="T279" t="str">
        <f t="shared" si="35"/>
        <v>West Bengal</v>
      </c>
      <c r="U279" t="str">
        <f t="shared" si="36"/>
        <v>Darjeeling</v>
      </c>
      <c r="V279" t="str">
        <f t="shared" si="37"/>
        <v>Rice</v>
      </c>
      <c r="W279" t="str">
        <f t="shared" si="38"/>
        <v>Dap</v>
      </c>
      <c r="X279" t="str">
        <f t="shared" si="39"/>
        <v>Food</v>
      </c>
    </row>
    <row r="280" spans="1:24" x14ac:dyDescent="0.25">
      <c r="A280" t="s">
        <v>345</v>
      </c>
      <c r="B280" s="1">
        <v>41634</v>
      </c>
      <c r="C280">
        <v>2013</v>
      </c>
      <c r="D280" t="s">
        <v>59</v>
      </c>
      <c r="E280" t="s">
        <v>60</v>
      </c>
      <c r="F280" t="s">
        <v>38</v>
      </c>
      <c r="G280" t="s">
        <v>27</v>
      </c>
      <c r="H280">
        <v>80.7</v>
      </c>
      <c r="I280">
        <v>228.6</v>
      </c>
      <c r="J280">
        <v>2832.76</v>
      </c>
      <c r="K280" t="s">
        <v>34</v>
      </c>
      <c r="L280" t="s">
        <v>29</v>
      </c>
      <c r="M280">
        <v>155.94999999999999</v>
      </c>
      <c r="N280">
        <v>576.48</v>
      </c>
      <c r="O280" t="s">
        <v>70</v>
      </c>
      <c r="P280">
        <v>26.88</v>
      </c>
      <c r="Q280" t="str">
        <f t="shared" si="32"/>
        <v>2013-12</v>
      </c>
      <c r="R280">
        <f t="shared" si="33"/>
        <v>1146.3790696262724</v>
      </c>
      <c r="S280">
        <f t="shared" si="34"/>
        <v>7.3509398501203753</v>
      </c>
      <c r="T280" t="str">
        <f t="shared" si="35"/>
        <v>Bihar</v>
      </c>
      <c r="U280" t="str">
        <f t="shared" si="36"/>
        <v>Patna</v>
      </c>
      <c r="V280" t="str">
        <f t="shared" si="37"/>
        <v>Pulses</v>
      </c>
      <c r="W280" t="str">
        <f t="shared" si="38"/>
        <v>Compost</v>
      </c>
      <c r="X280" t="str">
        <f t="shared" si="39"/>
        <v>Food</v>
      </c>
    </row>
    <row r="281" spans="1:24" x14ac:dyDescent="0.25">
      <c r="A281" t="s">
        <v>346</v>
      </c>
      <c r="B281" s="1">
        <v>43197</v>
      </c>
      <c r="C281">
        <v>2018</v>
      </c>
      <c r="D281" t="s">
        <v>31</v>
      </c>
      <c r="E281" t="s">
        <v>117</v>
      </c>
      <c r="F281" t="s">
        <v>19</v>
      </c>
      <c r="G281" t="s">
        <v>46</v>
      </c>
      <c r="H281">
        <v>58.86</v>
      </c>
      <c r="I281">
        <v>61.46</v>
      </c>
      <c r="J281">
        <v>1044.0899999999999</v>
      </c>
      <c r="K281" t="s">
        <v>34</v>
      </c>
      <c r="L281" t="s">
        <v>29</v>
      </c>
      <c r="M281">
        <v>190.36</v>
      </c>
      <c r="N281">
        <v>793.77</v>
      </c>
      <c r="O281" t="s">
        <v>70</v>
      </c>
      <c r="P281">
        <v>24.48</v>
      </c>
      <c r="Q281" t="str">
        <f t="shared" si="32"/>
        <v>2018-04</v>
      </c>
      <c r="R281">
        <f t="shared" si="33"/>
        <v>422.52888448230505</v>
      </c>
      <c r="S281">
        <f t="shared" si="34"/>
        <v>2.2196306182092091</v>
      </c>
      <c r="T281" t="str">
        <f t="shared" si="35"/>
        <v>Maharashtra</v>
      </c>
      <c r="U281" t="str">
        <f t="shared" si="36"/>
        <v>Mumbai</v>
      </c>
      <c r="V281" t="str">
        <f t="shared" si="37"/>
        <v>Sugarcane</v>
      </c>
      <c r="W281" t="str">
        <f t="shared" si="38"/>
        <v>Compost</v>
      </c>
      <c r="X281" t="str">
        <f t="shared" si="39"/>
        <v>Cash</v>
      </c>
    </row>
    <row r="282" spans="1:24" x14ac:dyDescent="0.25">
      <c r="A282" t="s">
        <v>347</v>
      </c>
      <c r="B282" s="1">
        <v>41781</v>
      </c>
      <c r="C282">
        <v>2014</v>
      </c>
      <c r="D282" t="s">
        <v>25</v>
      </c>
      <c r="E282" t="s">
        <v>87</v>
      </c>
      <c r="F282" t="s">
        <v>19</v>
      </c>
      <c r="G282" t="s">
        <v>20</v>
      </c>
      <c r="H282">
        <v>86.29</v>
      </c>
      <c r="I282">
        <v>221.5</v>
      </c>
      <c r="J282">
        <v>2566.88</v>
      </c>
      <c r="K282" t="s">
        <v>34</v>
      </c>
      <c r="L282" t="s">
        <v>47</v>
      </c>
      <c r="M282">
        <v>97.09</v>
      </c>
      <c r="N282">
        <v>717.29</v>
      </c>
      <c r="O282" t="s">
        <v>42</v>
      </c>
      <c r="P282">
        <v>33.5</v>
      </c>
      <c r="Q282" t="str">
        <f t="shared" si="32"/>
        <v>2014-05</v>
      </c>
      <c r="R282">
        <f t="shared" si="33"/>
        <v>1038.7810849638818</v>
      </c>
      <c r="S282">
        <f t="shared" si="34"/>
        <v>10.699156297907939</v>
      </c>
      <c r="T282" t="str">
        <f t="shared" si="35"/>
        <v>Punjab</v>
      </c>
      <c r="U282" t="str">
        <f t="shared" si="36"/>
        <v>Amritsar</v>
      </c>
      <c r="V282" t="str">
        <f t="shared" si="37"/>
        <v>Maize</v>
      </c>
      <c r="W282" t="str">
        <f t="shared" si="38"/>
        <v>Vermicompost</v>
      </c>
      <c r="X282" t="str">
        <f t="shared" si="39"/>
        <v>Food</v>
      </c>
    </row>
    <row r="283" spans="1:24" x14ac:dyDescent="0.25">
      <c r="A283" t="s">
        <v>348</v>
      </c>
      <c r="B283" s="1">
        <v>42132</v>
      </c>
      <c r="C283">
        <v>2015</v>
      </c>
      <c r="D283" t="s">
        <v>36</v>
      </c>
      <c r="E283" t="s">
        <v>77</v>
      </c>
      <c r="F283" t="s">
        <v>19</v>
      </c>
      <c r="G283" t="s">
        <v>56</v>
      </c>
      <c r="H283">
        <v>72.41</v>
      </c>
      <c r="I283">
        <v>357.16</v>
      </c>
      <c r="J283">
        <v>4932.3999999999996</v>
      </c>
      <c r="K283" t="s">
        <v>34</v>
      </c>
      <c r="L283" t="s">
        <v>47</v>
      </c>
      <c r="M283">
        <v>114.86</v>
      </c>
      <c r="N283">
        <v>618.57000000000005</v>
      </c>
      <c r="O283" t="s">
        <v>52</v>
      </c>
      <c r="P283">
        <v>31.05</v>
      </c>
      <c r="Q283" t="str">
        <f t="shared" si="32"/>
        <v>2015-05</v>
      </c>
      <c r="R283">
        <f t="shared" si="33"/>
        <v>1996.0745432103761</v>
      </c>
      <c r="S283">
        <f t="shared" si="34"/>
        <v>17.378326164116107</v>
      </c>
      <c r="T283" t="str">
        <f t="shared" si="35"/>
        <v>Karnataka</v>
      </c>
      <c r="U283" t="str">
        <f t="shared" si="36"/>
        <v>Hubli</v>
      </c>
      <c r="V283" t="str">
        <f t="shared" si="37"/>
        <v>Rice</v>
      </c>
      <c r="W283" t="str">
        <f t="shared" si="38"/>
        <v>Vermicompost</v>
      </c>
      <c r="X283" t="str">
        <f t="shared" si="39"/>
        <v>Food</v>
      </c>
    </row>
    <row r="284" spans="1:24" x14ac:dyDescent="0.25">
      <c r="A284" t="s">
        <v>349</v>
      </c>
      <c r="B284" s="1">
        <v>42105</v>
      </c>
      <c r="C284">
        <v>2015</v>
      </c>
      <c r="D284" t="s">
        <v>44</v>
      </c>
      <c r="E284" t="s">
        <v>45</v>
      </c>
      <c r="F284" t="s">
        <v>19</v>
      </c>
      <c r="G284" t="s">
        <v>39</v>
      </c>
      <c r="H284">
        <v>23.01</v>
      </c>
      <c r="I284">
        <v>96.82</v>
      </c>
      <c r="J284">
        <v>4207.8100000000004</v>
      </c>
      <c r="K284" t="s">
        <v>28</v>
      </c>
      <c r="L284" t="s">
        <v>47</v>
      </c>
      <c r="M284">
        <v>276.63</v>
      </c>
      <c r="N284">
        <v>871.87</v>
      </c>
      <c r="O284" t="s">
        <v>61</v>
      </c>
      <c r="P284">
        <v>24.5</v>
      </c>
      <c r="Q284" t="str">
        <f t="shared" si="32"/>
        <v>2015-04</v>
      </c>
      <c r="R284">
        <f t="shared" si="33"/>
        <v>1702.8429210254751</v>
      </c>
      <c r="S284">
        <f t="shared" si="34"/>
        <v>6.1556697430700762</v>
      </c>
      <c r="T284" t="str">
        <f t="shared" si="35"/>
        <v>West Bengal</v>
      </c>
      <c r="U284" t="str">
        <f t="shared" si="36"/>
        <v>Kolkata</v>
      </c>
      <c r="V284" t="str">
        <f t="shared" si="37"/>
        <v>Cotton</v>
      </c>
      <c r="W284" t="str">
        <f t="shared" si="38"/>
        <v>Vermicompost</v>
      </c>
      <c r="X284" t="str">
        <f t="shared" si="39"/>
        <v>Cash</v>
      </c>
    </row>
    <row r="285" spans="1:24" x14ac:dyDescent="0.25">
      <c r="A285" t="s">
        <v>350</v>
      </c>
      <c r="B285" s="1">
        <v>40905</v>
      </c>
      <c r="C285">
        <v>2011</v>
      </c>
      <c r="D285" t="s">
        <v>103</v>
      </c>
      <c r="E285" t="s">
        <v>107</v>
      </c>
      <c r="F285" t="s">
        <v>38</v>
      </c>
      <c r="G285" t="s">
        <v>56</v>
      </c>
      <c r="H285">
        <v>74.349999999999994</v>
      </c>
      <c r="I285">
        <v>397.86</v>
      </c>
      <c r="J285">
        <v>5351.12</v>
      </c>
      <c r="K285" t="s">
        <v>40</v>
      </c>
      <c r="L285" t="s">
        <v>49</v>
      </c>
      <c r="M285">
        <v>286.73</v>
      </c>
      <c r="N285">
        <v>1099.5899999999999</v>
      </c>
      <c r="O285" t="s">
        <v>23</v>
      </c>
      <c r="P285">
        <v>23.33</v>
      </c>
      <c r="Q285" t="str">
        <f t="shared" si="32"/>
        <v>2011-12</v>
      </c>
      <c r="R285">
        <f t="shared" si="33"/>
        <v>2165.5247769166954</v>
      </c>
      <c r="S285">
        <f t="shared" si="34"/>
        <v>7.5524876256990732</v>
      </c>
      <c r="T285" t="str">
        <f t="shared" si="35"/>
        <v>Haryana</v>
      </c>
      <c r="U285" t="str">
        <f t="shared" si="36"/>
        <v>Faridabad</v>
      </c>
      <c r="V285" t="str">
        <f t="shared" si="37"/>
        <v>Rice</v>
      </c>
      <c r="W285" t="str">
        <f t="shared" si="38"/>
        <v>Npk</v>
      </c>
      <c r="X285" t="str">
        <f t="shared" si="39"/>
        <v>Food</v>
      </c>
    </row>
    <row r="286" spans="1:24" x14ac:dyDescent="0.25">
      <c r="A286" t="s">
        <v>351</v>
      </c>
      <c r="B286" s="1">
        <v>42327</v>
      </c>
      <c r="C286">
        <v>2015</v>
      </c>
      <c r="D286" t="s">
        <v>36</v>
      </c>
      <c r="E286" t="s">
        <v>51</v>
      </c>
      <c r="F286" t="s">
        <v>38</v>
      </c>
      <c r="G286" t="s">
        <v>27</v>
      </c>
      <c r="H286">
        <v>30.11</v>
      </c>
      <c r="I286">
        <v>183.89</v>
      </c>
      <c r="J286">
        <v>6107.28</v>
      </c>
      <c r="K286" t="s">
        <v>28</v>
      </c>
      <c r="L286" t="s">
        <v>29</v>
      </c>
      <c r="M286">
        <v>63.42</v>
      </c>
      <c r="N286">
        <v>834.4</v>
      </c>
      <c r="O286" t="s">
        <v>61</v>
      </c>
      <c r="P286">
        <v>34.159999999999997</v>
      </c>
      <c r="Q286" t="str">
        <f t="shared" si="32"/>
        <v>2015-11</v>
      </c>
      <c r="R286">
        <f t="shared" si="33"/>
        <v>2471.5323445498875</v>
      </c>
      <c r="S286">
        <f t="shared" si="34"/>
        <v>38.970866359979304</v>
      </c>
      <c r="T286" t="str">
        <f t="shared" si="35"/>
        <v>Karnataka</v>
      </c>
      <c r="U286" t="str">
        <f t="shared" si="36"/>
        <v>Mysore</v>
      </c>
      <c r="V286" t="str">
        <f t="shared" si="37"/>
        <v>Pulses</v>
      </c>
      <c r="W286" t="str">
        <f t="shared" si="38"/>
        <v>Compost</v>
      </c>
      <c r="X286" t="str">
        <f t="shared" si="39"/>
        <v>Food</v>
      </c>
    </row>
    <row r="287" spans="1:24" x14ac:dyDescent="0.25">
      <c r="A287" t="s">
        <v>352</v>
      </c>
      <c r="B287" s="1">
        <v>40691</v>
      </c>
      <c r="C287">
        <v>2011</v>
      </c>
      <c r="D287" t="s">
        <v>103</v>
      </c>
      <c r="E287" t="s">
        <v>228</v>
      </c>
      <c r="F287" t="s">
        <v>19</v>
      </c>
      <c r="G287" t="s">
        <v>46</v>
      </c>
      <c r="H287">
        <v>53.45</v>
      </c>
      <c r="I287">
        <v>185.93</v>
      </c>
      <c r="J287">
        <v>3478.64</v>
      </c>
      <c r="K287" t="s">
        <v>40</v>
      </c>
      <c r="L287" t="s">
        <v>29</v>
      </c>
      <c r="M287">
        <v>84.34</v>
      </c>
      <c r="N287">
        <v>400.3</v>
      </c>
      <c r="O287" t="s">
        <v>52</v>
      </c>
      <c r="P287">
        <v>34.81</v>
      </c>
      <c r="Q287" t="str">
        <f t="shared" si="32"/>
        <v>2011-05</v>
      </c>
      <c r="R287">
        <f t="shared" si="33"/>
        <v>1407.7578357378443</v>
      </c>
      <c r="S287">
        <f t="shared" si="34"/>
        <v>16.691461177825992</v>
      </c>
      <c r="T287" t="str">
        <f t="shared" si="35"/>
        <v>Haryana</v>
      </c>
      <c r="U287" t="str">
        <f t="shared" si="36"/>
        <v>Hisar</v>
      </c>
      <c r="V287" t="str">
        <f t="shared" si="37"/>
        <v>Sugarcane</v>
      </c>
      <c r="W287" t="str">
        <f t="shared" si="38"/>
        <v>Compost</v>
      </c>
      <c r="X287" t="str">
        <f t="shared" si="39"/>
        <v>Cash</v>
      </c>
    </row>
    <row r="288" spans="1:24" x14ac:dyDescent="0.25">
      <c r="A288" t="s">
        <v>353</v>
      </c>
      <c r="B288" s="1">
        <v>44391</v>
      </c>
      <c r="C288">
        <v>2021</v>
      </c>
      <c r="D288" t="s">
        <v>103</v>
      </c>
      <c r="E288" t="s">
        <v>107</v>
      </c>
      <c r="F288" t="s">
        <v>33</v>
      </c>
      <c r="G288" t="s">
        <v>64</v>
      </c>
      <c r="H288">
        <v>49.27</v>
      </c>
      <c r="I288">
        <v>235.82</v>
      </c>
      <c r="J288">
        <v>4786.2</v>
      </c>
      <c r="K288" t="s">
        <v>40</v>
      </c>
      <c r="L288" t="s">
        <v>47</v>
      </c>
      <c r="M288">
        <v>128.35</v>
      </c>
      <c r="N288">
        <v>258.01</v>
      </c>
      <c r="O288" t="s">
        <v>52</v>
      </c>
      <c r="P288">
        <v>24.1</v>
      </c>
      <c r="Q288" t="str">
        <f t="shared" si="32"/>
        <v>2021-07</v>
      </c>
      <c r="R288">
        <f t="shared" si="33"/>
        <v>1936.9094109791383</v>
      </c>
      <c r="S288">
        <f t="shared" si="34"/>
        <v>15.09084075558347</v>
      </c>
      <c r="T288" t="str">
        <f t="shared" si="35"/>
        <v>Haryana</v>
      </c>
      <c r="U288" t="str">
        <f t="shared" si="36"/>
        <v>Faridabad</v>
      </c>
      <c r="V288" t="str">
        <f t="shared" si="37"/>
        <v>Wheat</v>
      </c>
      <c r="W288" t="str">
        <f t="shared" si="38"/>
        <v>Vermicompost</v>
      </c>
      <c r="X288" t="str">
        <f t="shared" si="39"/>
        <v>Food</v>
      </c>
    </row>
    <row r="289" spans="1:24" x14ac:dyDescent="0.25">
      <c r="A289" t="s">
        <v>354</v>
      </c>
      <c r="B289" s="1">
        <v>42938</v>
      </c>
      <c r="C289">
        <v>2017</v>
      </c>
      <c r="D289" t="s">
        <v>44</v>
      </c>
      <c r="E289" t="s">
        <v>45</v>
      </c>
      <c r="F289" t="s">
        <v>33</v>
      </c>
      <c r="G289" t="s">
        <v>56</v>
      </c>
      <c r="H289">
        <v>61.83</v>
      </c>
      <c r="I289">
        <v>296.83999999999997</v>
      </c>
      <c r="J289">
        <v>4800.93</v>
      </c>
      <c r="K289" t="s">
        <v>28</v>
      </c>
      <c r="L289" t="s">
        <v>49</v>
      </c>
      <c r="M289">
        <v>157.26</v>
      </c>
      <c r="N289">
        <v>677.4</v>
      </c>
      <c r="O289" t="s">
        <v>23</v>
      </c>
      <c r="P289">
        <v>20.57</v>
      </c>
      <c r="Q289" t="str">
        <f t="shared" si="32"/>
        <v>2017-07</v>
      </c>
      <c r="R289">
        <f t="shared" si="33"/>
        <v>1942.8704396916291</v>
      </c>
      <c r="S289">
        <f t="shared" si="34"/>
        <v>12.354511253285192</v>
      </c>
      <c r="T289" t="str">
        <f t="shared" si="35"/>
        <v>West Bengal</v>
      </c>
      <c r="U289" t="str">
        <f t="shared" si="36"/>
        <v>Kolkata</v>
      </c>
      <c r="V289" t="str">
        <f t="shared" si="37"/>
        <v>Rice</v>
      </c>
      <c r="W289" t="str">
        <f t="shared" si="38"/>
        <v>Npk</v>
      </c>
      <c r="X289" t="str">
        <f t="shared" si="39"/>
        <v>Food</v>
      </c>
    </row>
    <row r="290" spans="1:24" x14ac:dyDescent="0.25">
      <c r="A290" t="s">
        <v>355</v>
      </c>
      <c r="B290" s="1">
        <v>44676</v>
      </c>
      <c r="C290">
        <v>2022</v>
      </c>
      <c r="D290" t="s">
        <v>25</v>
      </c>
      <c r="E290" t="s">
        <v>87</v>
      </c>
      <c r="F290" t="s">
        <v>19</v>
      </c>
      <c r="G290" t="s">
        <v>56</v>
      </c>
      <c r="H290">
        <v>2.77</v>
      </c>
      <c r="I290">
        <v>2.84</v>
      </c>
      <c r="J290">
        <v>1024.74</v>
      </c>
      <c r="K290" t="s">
        <v>40</v>
      </c>
      <c r="L290" t="s">
        <v>47</v>
      </c>
      <c r="M290">
        <v>106.57</v>
      </c>
      <c r="N290">
        <v>1076.99</v>
      </c>
      <c r="O290" t="s">
        <v>70</v>
      </c>
      <c r="P290">
        <v>21.93</v>
      </c>
      <c r="Q290" t="str">
        <f t="shared" si="32"/>
        <v>2022-04</v>
      </c>
      <c r="R290">
        <f t="shared" si="33"/>
        <v>414.698205216406</v>
      </c>
      <c r="S290">
        <f t="shared" si="34"/>
        <v>3.8913221846336308</v>
      </c>
      <c r="T290" t="str">
        <f t="shared" si="35"/>
        <v>Punjab</v>
      </c>
      <c r="U290" t="str">
        <f t="shared" si="36"/>
        <v>Amritsar</v>
      </c>
      <c r="V290" t="str">
        <f t="shared" si="37"/>
        <v>Rice</v>
      </c>
      <c r="W290" t="str">
        <f t="shared" si="38"/>
        <v>Vermicompost</v>
      </c>
      <c r="X290" t="str">
        <f t="shared" si="39"/>
        <v>Food</v>
      </c>
    </row>
    <row r="291" spans="1:24" x14ac:dyDescent="0.25">
      <c r="A291" t="s">
        <v>356</v>
      </c>
      <c r="B291" s="1">
        <v>41186</v>
      </c>
      <c r="C291">
        <v>2012</v>
      </c>
      <c r="D291" t="s">
        <v>59</v>
      </c>
      <c r="E291" t="s">
        <v>63</v>
      </c>
      <c r="F291" t="s">
        <v>33</v>
      </c>
      <c r="G291" t="s">
        <v>64</v>
      </c>
      <c r="H291">
        <v>30.52</v>
      </c>
      <c r="I291">
        <v>83.78</v>
      </c>
      <c r="J291">
        <v>2744.97</v>
      </c>
      <c r="K291" t="s">
        <v>34</v>
      </c>
      <c r="L291" t="s">
        <v>49</v>
      </c>
      <c r="M291">
        <v>158.41999999999999</v>
      </c>
      <c r="N291">
        <v>886.78</v>
      </c>
      <c r="O291" t="s">
        <v>42</v>
      </c>
      <c r="P291">
        <v>25.14</v>
      </c>
      <c r="Q291" t="str">
        <f t="shared" si="32"/>
        <v>2012-10</v>
      </c>
      <c r="R291">
        <f t="shared" si="33"/>
        <v>1110.8516622488414</v>
      </c>
      <c r="S291">
        <f t="shared" si="34"/>
        <v>7.0120670511857188</v>
      </c>
      <c r="T291" t="str">
        <f t="shared" si="35"/>
        <v>Bihar</v>
      </c>
      <c r="U291" t="str">
        <f t="shared" si="36"/>
        <v>Gaya</v>
      </c>
      <c r="V291" t="str">
        <f t="shared" si="37"/>
        <v>Wheat</v>
      </c>
      <c r="W291" t="str">
        <f t="shared" si="38"/>
        <v>Npk</v>
      </c>
      <c r="X291" t="str">
        <f t="shared" si="39"/>
        <v>Food</v>
      </c>
    </row>
    <row r="292" spans="1:24" x14ac:dyDescent="0.25">
      <c r="A292" t="s">
        <v>357</v>
      </c>
      <c r="B292" s="1">
        <v>41307</v>
      </c>
      <c r="C292">
        <v>2012</v>
      </c>
      <c r="D292" t="s">
        <v>44</v>
      </c>
      <c r="E292" t="s">
        <v>45</v>
      </c>
      <c r="F292" t="s">
        <v>38</v>
      </c>
      <c r="G292" t="s">
        <v>64</v>
      </c>
      <c r="H292">
        <v>23.61</v>
      </c>
      <c r="I292">
        <v>126.62</v>
      </c>
      <c r="J292">
        <v>5363.01</v>
      </c>
      <c r="K292" t="s">
        <v>40</v>
      </c>
      <c r="L292" t="s">
        <v>22</v>
      </c>
      <c r="M292">
        <v>102.8</v>
      </c>
      <c r="N292">
        <v>221.91</v>
      </c>
      <c r="O292" t="s">
        <v>61</v>
      </c>
      <c r="P292">
        <v>22.53</v>
      </c>
      <c r="Q292" t="str">
        <f t="shared" si="32"/>
        <v>2013-02</v>
      </c>
      <c r="R292">
        <f t="shared" si="33"/>
        <v>2170.3364966309869</v>
      </c>
      <c r="S292">
        <f t="shared" si="34"/>
        <v>21.112222729873412</v>
      </c>
      <c r="T292" t="str">
        <f t="shared" si="35"/>
        <v>West Bengal</v>
      </c>
      <c r="U292" t="str">
        <f t="shared" si="36"/>
        <v>Kolkata</v>
      </c>
      <c r="V292" t="str">
        <f t="shared" si="37"/>
        <v>Wheat</v>
      </c>
      <c r="W292" t="str">
        <f t="shared" si="38"/>
        <v>Urea</v>
      </c>
      <c r="X292" t="str">
        <f t="shared" si="39"/>
        <v>Food</v>
      </c>
    </row>
    <row r="293" spans="1:24" x14ac:dyDescent="0.25">
      <c r="A293" t="s">
        <v>358</v>
      </c>
      <c r="B293" s="1">
        <v>41754</v>
      </c>
      <c r="C293">
        <v>2014</v>
      </c>
      <c r="D293" t="s">
        <v>36</v>
      </c>
      <c r="E293" t="s">
        <v>77</v>
      </c>
      <c r="F293" t="s">
        <v>19</v>
      </c>
      <c r="G293" t="s">
        <v>27</v>
      </c>
      <c r="H293">
        <v>5.81</v>
      </c>
      <c r="I293">
        <v>40.479999999999997</v>
      </c>
      <c r="J293">
        <v>6968.08</v>
      </c>
      <c r="K293" t="s">
        <v>21</v>
      </c>
      <c r="L293" t="s">
        <v>22</v>
      </c>
      <c r="M293">
        <v>213.39</v>
      </c>
      <c r="N293">
        <v>219.74</v>
      </c>
      <c r="O293" t="s">
        <v>23</v>
      </c>
      <c r="P293">
        <v>26.25</v>
      </c>
      <c r="Q293" t="str">
        <f t="shared" si="32"/>
        <v>2014-04</v>
      </c>
      <c r="R293">
        <f t="shared" si="33"/>
        <v>2819.8862831589809</v>
      </c>
      <c r="S293">
        <f t="shared" si="34"/>
        <v>13.214706795815085</v>
      </c>
      <c r="T293" t="str">
        <f t="shared" si="35"/>
        <v>Karnataka</v>
      </c>
      <c r="U293" t="str">
        <f t="shared" si="36"/>
        <v>Hubli</v>
      </c>
      <c r="V293" t="str">
        <f t="shared" si="37"/>
        <v>Pulses</v>
      </c>
      <c r="W293" t="str">
        <f t="shared" si="38"/>
        <v>Urea</v>
      </c>
      <c r="X293" t="str">
        <f t="shared" si="39"/>
        <v>Food</v>
      </c>
    </row>
    <row r="294" spans="1:24" x14ac:dyDescent="0.25">
      <c r="A294" t="s">
        <v>359</v>
      </c>
      <c r="B294" s="1">
        <v>42864</v>
      </c>
      <c r="C294">
        <v>2017</v>
      </c>
      <c r="D294" t="s">
        <v>59</v>
      </c>
      <c r="E294" t="s">
        <v>63</v>
      </c>
      <c r="F294" t="s">
        <v>19</v>
      </c>
      <c r="G294" t="s">
        <v>56</v>
      </c>
      <c r="H294">
        <v>21.34</v>
      </c>
      <c r="I294">
        <v>109.14</v>
      </c>
      <c r="J294">
        <v>5114.4399999999996</v>
      </c>
      <c r="K294" t="s">
        <v>21</v>
      </c>
      <c r="L294" t="s">
        <v>41</v>
      </c>
      <c r="M294">
        <v>125.28</v>
      </c>
      <c r="N294">
        <v>861.66</v>
      </c>
      <c r="O294" t="s">
        <v>61</v>
      </c>
      <c r="P294">
        <v>24.05</v>
      </c>
      <c r="Q294" t="str">
        <f t="shared" si="32"/>
        <v>2017-05</v>
      </c>
      <c r="R294">
        <f t="shared" si="33"/>
        <v>2069.7436312498735</v>
      </c>
      <c r="S294">
        <f t="shared" si="34"/>
        <v>16.520942139606269</v>
      </c>
      <c r="T294" t="str">
        <f t="shared" si="35"/>
        <v>Bihar</v>
      </c>
      <c r="U294" t="str">
        <f t="shared" si="36"/>
        <v>Gaya</v>
      </c>
      <c r="V294" t="str">
        <f t="shared" si="37"/>
        <v>Rice</v>
      </c>
      <c r="W294" t="str">
        <f t="shared" si="38"/>
        <v>Dap</v>
      </c>
      <c r="X294" t="str">
        <f t="shared" si="39"/>
        <v>Food</v>
      </c>
    </row>
    <row r="295" spans="1:24" x14ac:dyDescent="0.25">
      <c r="A295" t="s">
        <v>360</v>
      </c>
      <c r="B295" s="1">
        <v>43203</v>
      </c>
      <c r="C295">
        <v>2018</v>
      </c>
      <c r="D295" t="s">
        <v>36</v>
      </c>
      <c r="E295" t="s">
        <v>37</v>
      </c>
      <c r="F295" t="s">
        <v>19</v>
      </c>
      <c r="G295" t="s">
        <v>27</v>
      </c>
      <c r="H295">
        <v>12.66</v>
      </c>
      <c r="I295">
        <v>21.32</v>
      </c>
      <c r="J295">
        <v>1684.08</v>
      </c>
      <c r="K295" t="s">
        <v>21</v>
      </c>
      <c r="L295" t="s">
        <v>49</v>
      </c>
      <c r="M295">
        <v>174.43</v>
      </c>
      <c r="N295">
        <v>809</v>
      </c>
      <c r="O295" t="s">
        <v>70</v>
      </c>
      <c r="P295">
        <v>32.47</v>
      </c>
      <c r="Q295" t="str">
        <f t="shared" si="32"/>
        <v>2018-04</v>
      </c>
      <c r="R295">
        <f t="shared" si="33"/>
        <v>681.52404848141475</v>
      </c>
      <c r="S295">
        <f t="shared" si="34"/>
        <v>3.9071492775406451</v>
      </c>
      <c r="T295" t="str">
        <f t="shared" si="35"/>
        <v>Karnataka</v>
      </c>
      <c r="U295" t="str">
        <f t="shared" si="36"/>
        <v>Bangalore</v>
      </c>
      <c r="V295" t="str">
        <f t="shared" si="37"/>
        <v>Pulses</v>
      </c>
      <c r="W295" t="str">
        <f t="shared" si="38"/>
        <v>Npk</v>
      </c>
      <c r="X295" t="str">
        <f t="shared" si="39"/>
        <v>Food</v>
      </c>
    </row>
    <row r="296" spans="1:24" x14ac:dyDescent="0.25">
      <c r="A296" t="s">
        <v>361</v>
      </c>
      <c r="B296" s="1">
        <v>41937</v>
      </c>
      <c r="C296">
        <v>2014</v>
      </c>
      <c r="D296" t="s">
        <v>17</v>
      </c>
      <c r="E296" t="s">
        <v>72</v>
      </c>
      <c r="F296" t="s">
        <v>33</v>
      </c>
      <c r="G296" t="s">
        <v>64</v>
      </c>
      <c r="H296">
        <v>55.27</v>
      </c>
      <c r="I296">
        <v>357.16</v>
      </c>
      <c r="J296">
        <v>6462.14</v>
      </c>
      <c r="K296" t="s">
        <v>28</v>
      </c>
      <c r="L296" t="s">
        <v>29</v>
      </c>
      <c r="M296">
        <v>132.65</v>
      </c>
      <c r="N296">
        <v>202.74</v>
      </c>
      <c r="O296" t="s">
        <v>23</v>
      </c>
      <c r="P296">
        <v>33.6</v>
      </c>
      <c r="Q296" t="str">
        <f t="shared" si="32"/>
        <v>2014-10</v>
      </c>
      <c r="R296">
        <f t="shared" si="33"/>
        <v>2615.139313247405</v>
      </c>
      <c r="S296">
        <f t="shared" si="34"/>
        <v>19.714582082528494</v>
      </c>
      <c r="T296" t="str">
        <f t="shared" si="35"/>
        <v>Uttar Pradesh</v>
      </c>
      <c r="U296" t="str">
        <f t="shared" si="36"/>
        <v>Kanpur</v>
      </c>
      <c r="V296" t="str">
        <f t="shared" si="37"/>
        <v>Wheat</v>
      </c>
      <c r="W296" t="str">
        <f t="shared" si="38"/>
        <v>Compost</v>
      </c>
      <c r="X296" t="str">
        <f t="shared" si="39"/>
        <v>Food</v>
      </c>
    </row>
    <row r="297" spans="1:24" x14ac:dyDescent="0.25">
      <c r="A297" t="s">
        <v>362</v>
      </c>
      <c r="B297" s="1">
        <v>44655</v>
      </c>
      <c r="C297">
        <v>2022</v>
      </c>
      <c r="D297" t="s">
        <v>103</v>
      </c>
      <c r="E297" t="s">
        <v>104</v>
      </c>
      <c r="F297" t="s">
        <v>19</v>
      </c>
      <c r="G297" t="s">
        <v>64</v>
      </c>
      <c r="H297">
        <v>72.63</v>
      </c>
      <c r="I297">
        <v>116.77</v>
      </c>
      <c r="J297">
        <v>1607.74</v>
      </c>
      <c r="K297" t="s">
        <v>34</v>
      </c>
      <c r="L297" t="s">
        <v>22</v>
      </c>
      <c r="M297">
        <v>211.08</v>
      </c>
      <c r="N297">
        <v>656.75</v>
      </c>
      <c r="O297" t="s">
        <v>70</v>
      </c>
      <c r="P297">
        <v>23.96</v>
      </c>
      <c r="Q297" t="str">
        <f t="shared" si="32"/>
        <v>2022-04</v>
      </c>
      <c r="R297">
        <f t="shared" si="33"/>
        <v>650.63029886080813</v>
      </c>
      <c r="S297">
        <f t="shared" si="34"/>
        <v>3.082387241144628</v>
      </c>
      <c r="T297" t="str">
        <f t="shared" si="35"/>
        <v>Haryana</v>
      </c>
      <c r="U297" t="str">
        <f t="shared" si="36"/>
        <v>Gurgaon</v>
      </c>
      <c r="V297" t="str">
        <f t="shared" si="37"/>
        <v>Wheat</v>
      </c>
      <c r="W297" t="str">
        <f t="shared" si="38"/>
        <v>Urea</v>
      </c>
      <c r="X297" t="str">
        <f t="shared" si="39"/>
        <v>Food</v>
      </c>
    </row>
    <row r="298" spans="1:24" x14ac:dyDescent="0.25">
      <c r="A298" t="s">
        <v>363</v>
      </c>
      <c r="B298" s="1">
        <v>40518</v>
      </c>
      <c r="C298">
        <v>2010</v>
      </c>
      <c r="D298" t="s">
        <v>44</v>
      </c>
      <c r="E298" t="s">
        <v>45</v>
      </c>
      <c r="F298" t="s">
        <v>38</v>
      </c>
      <c r="G298" t="s">
        <v>20</v>
      </c>
      <c r="H298">
        <v>80.36</v>
      </c>
      <c r="I298">
        <v>231.13</v>
      </c>
      <c r="J298">
        <v>2876.24</v>
      </c>
      <c r="K298" t="s">
        <v>21</v>
      </c>
      <c r="L298" t="s">
        <v>41</v>
      </c>
      <c r="M298">
        <v>73.75</v>
      </c>
      <c r="N298">
        <v>958.2</v>
      </c>
      <c r="O298" t="s">
        <v>23</v>
      </c>
      <c r="P298">
        <v>20.149999999999999</v>
      </c>
      <c r="Q298" t="str">
        <f t="shared" si="32"/>
        <v>2010-12</v>
      </c>
      <c r="R298">
        <f t="shared" si="33"/>
        <v>1163.9748285141943</v>
      </c>
      <c r="S298">
        <f t="shared" si="34"/>
        <v>15.782709539175515</v>
      </c>
      <c r="T298" t="str">
        <f t="shared" si="35"/>
        <v>West Bengal</v>
      </c>
      <c r="U298" t="str">
        <f t="shared" si="36"/>
        <v>Kolkata</v>
      </c>
      <c r="V298" t="str">
        <f t="shared" si="37"/>
        <v>Maize</v>
      </c>
      <c r="W298" t="str">
        <f t="shared" si="38"/>
        <v>Dap</v>
      </c>
      <c r="X298" t="str">
        <f t="shared" si="39"/>
        <v>Food</v>
      </c>
    </row>
    <row r="299" spans="1:24" x14ac:dyDescent="0.25">
      <c r="A299" t="s">
        <v>364</v>
      </c>
      <c r="B299" s="1">
        <v>42850</v>
      </c>
      <c r="C299">
        <v>2017</v>
      </c>
      <c r="D299" t="s">
        <v>31</v>
      </c>
      <c r="E299" t="s">
        <v>32</v>
      </c>
      <c r="F299" t="s">
        <v>19</v>
      </c>
      <c r="G299" t="s">
        <v>20</v>
      </c>
      <c r="H299">
        <v>87.97</v>
      </c>
      <c r="I299">
        <v>137.03</v>
      </c>
      <c r="J299">
        <v>1557.71</v>
      </c>
      <c r="K299" t="s">
        <v>34</v>
      </c>
      <c r="L299" t="s">
        <v>29</v>
      </c>
      <c r="M299">
        <v>95.72</v>
      </c>
      <c r="N299">
        <v>600.78</v>
      </c>
      <c r="O299" t="s">
        <v>52</v>
      </c>
      <c r="P299">
        <v>24.08</v>
      </c>
      <c r="Q299" t="str">
        <f t="shared" si="32"/>
        <v>2017-04</v>
      </c>
      <c r="R299">
        <f t="shared" si="33"/>
        <v>630.38384492422256</v>
      </c>
      <c r="S299">
        <f t="shared" si="34"/>
        <v>6.58570669582347</v>
      </c>
      <c r="T299" t="str">
        <f t="shared" si="35"/>
        <v>Maharashtra</v>
      </c>
      <c r="U299" t="str">
        <f t="shared" si="36"/>
        <v>Pune</v>
      </c>
      <c r="V299" t="str">
        <f t="shared" si="37"/>
        <v>Maize</v>
      </c>
      <c r="W299" t="str">
        <f t="shared" si="38"/>
        <v>Compost</v>
      </c>
      <c r="X299" t="str">
        <f t="shared" si="39"/>
        <v>Food</v>
      </c>
    </row>
    <row r="300" spans="1:24" x14ac:dyDescent="0.25">
      <c r="A300" t="s">
        <v>365</v>
      </c>
      <c r="B300" s="1">
        <v>44095</v>
      </c>
      <c r="C300">
        <v>2020</v>
      </c>
      <c r="D300" t="s">
        <v>44</v>
      </c>
      <c r="E300" t="s">
        <v>99</v>
      </c>
      <c r="F300" t="s">
        <v>33</v>
      </c>
      <c r="G300" t="s">
        <v>64</v>
      </c>
      <c r="H300">
        <v>14.12</v>
      </c>
      <c r="I300">
        <v>75.66</v>
      </c>
      <c r="J300">
        <v>5358.47</v>
      </c>
      <c r="K300" t="s">
        <v>40</v>
      </c>
      <c r="L300" t="s">
        <v>41</v>
      </c>
      <c r="M300">
        <v>75.930000000000007</v>
      </c>
      <c r="N300">
        <v>1111.23</v>
      </c>
      <c r="O300" t="s">
        <v>52</v>
      </c>
      <c r="P300">
        <v>32.03</v>
      </c>
      <c r="Q300" t="str">
        <f t="shared" si="32"/>
        <v>2020-09</v>
      </c>
      <c r="R300">
        <f t="shared" si="33"/>
        <v>2168.4992209789361</v>
      </c>
      <c r="S300">
        <f t="shared" si="34"/>
        <v>28.55918900275169</v>
      </c>
      <c r="T300" t="str">
        <f t="shared" si="35"/>
        <v>West Bengal</v>
      </c>
      <c r="U300" t="str">
        <f t="shared" si="36"/>
        <v>Howrah</v>
      </c>
      <c r="V300" t="str">
        <f t="shared" si="37"/>
        <v>Wheat</v>
      </c>
      <c r="W300" t="str">
        <f t="shared" si="38"/>
        <v>Dap</v>
      </c>
      <c r="X300" t="str">
        <f t="shared" si="39"/>
        <v>Food</v>
      </c>
    </row>
    <row r="301" spans="1:24" x14ac:dyDescent="0.25">
      <c r="A301" t="s">
        <v>366</v>
      </c>
      <c r="B301" s="1">
        <v>44882</v>
      </c>
      <c r="C301">
        <v>2022</v>
      </c>
      <c r="D301" t="s">
        <v>59</v>
      </c>
      <c r="E301" t="s">
        <v>63</v>
      </c>
      <c r="F301" t="s">
        <v>38</v>
      </c>
      <c r="G301" t="s">
        <v>27</v>
      </c>
      <c r="H301">
        <v>3.85</v>
      </c>
      <c r="I301">
        <v>19.66</v>
      </c>
      <c r="J301">
        <v>5106.78</v>
      </c>
      <c r="K301" t="s">
        <v>40</v>
      </c>
      <c r="L301" t="s">
        <v>49</v>
      </c>
      <c r="M301">
        <v>170.77</v>
      </c>
      <c r="N301">
        <v>688.12</v>
      </c>
      <c r="O301" t="s">
        <v>52</v>
      </c>
      <c r="P301">
        <v>26.61</v>
      </c>
      <c r="Q301" t="str">
        <f t="shared" si="32"/>
        <v>2022-11</v>
      </c>
      <c r="R301">
        <f t="shared" si="33"/>
        <v>2066.6437344448714</v>
      </c>
      <c r="S301">
        <f t="shared" si="34"/>
        <v>12.101913301193836</v>
      </c>
      <c r="T301" t="str">
        <f t="shared" si="35"/>
        <v>Bihar</v>
      </c>
      <c r="U301" t="str">
        <f t="shared" si="36"/>
        <v>Gaya</v>
      </c>
      <c r="V301" t="str">
        <f t="shared" si="37"/>
        <v>Pulses</v>
      </c>
      <c r="W301" t="str">
        <f t="shared" si="38"/>
        <v>Npk</v>
      </c>
      <c r="X301" t="str">
        <f t="shared" si="39"/>
        <v>Food</v>
      </c>
    </row>
    <row r="302" spans="1:24" x14ac:dyDescent="0.25">
      <c r="A302" t="s">
        <v>367</v>
      </c>
      <c r="B302" s="1">
        <v>40313</v>
      </c>
      <c r="C302">
        <v>2010</v>
      </c>
      <c r="D302" t="s">
        <v>17</v>
      </c>
      <c r="E302" t="s">
        <v>72</v>
      </c>
      <c r="F302" t="s">
        <v>19</v>
      </c>
      <c r="G302" t="s">
        <v>39</v>
      </c>
      <c r="H302">
        <v>52.96</v>
      </c>
      <c r="I302">
        <v>289.25</v>
      </c>
      <c r="J302">
        <v>5461.74</v>
      </c>
      <c r="K302" t="s">
        <v>40</v>
      </c>
      <c r="L302" t="s">
        <v>47</v>
      </c>
      <c r="M302">
        <v>294.47000000000003</v>
      </c>
      <c r="N302">
        <v>869.84</v>
      </c>
      <c r="O302" t="s">
        <v>70</v>
      </c>
      <c r="P302">
        <v>27.79</v>
      </c>
      <c r="Q302" t="str">
        <f t="shared" si="32"/>
        <v>2010-05</v>
      </c>
      <c r="R302">
        <f t="shared" si="33"/>
        <v>2210.2911717690858</v>
      </c>
      <c r="S302">
        <f t="shared" si="34"/>
        <v>7.505997798652106</v>
      </c>
      <c r="T302" t="str">
        <f t="shared" si="35"/>
        <v>Uttar Pradesh</v>
      </c>
      <c r="U302" t="str">
        <f t="shared" si="36"/>
        <v>Kanpur</v>
      </c>
      <c r="V302" t="str">
        <f t="shared" si="37"/>
        <v>Cotton</v>
      </c>
      <c r="W302" t="str">
        <f t="shared" si="38"/>
        <v>Vermicompost</v>
      </c>
      <c r="X302" t="str">
        <f t="shared" si="39"/>
        <v>Cash</v>
      </c>
    </row>
    <row r="303" spans="1:24" x14ac:dyDescent="0.25">
      <c r="A303" t="s">
        <v>368</v>
      </c>
      <c r="B303" s="1">
        <v>43963</v>
      </c>
      <c r="C303">
        <v>2020</v>
      </c>
      <c r="D303" t="s">
        <v>25</v>
      </c>
      <c r="E303" t="s">
        <v>87</v>
      </c>
      <c r="F303" t="s">
        <v>19</v>
      </c>
      <c r="G303" t="s">
        <v>56</v>
      </c>
      <c r="H303">
        <v>48.71</v>
      </c>
      <c r="I303">
        <v>242.69</v>
      </c>
      <c r="J303">
        <v>4982.26</v>
      </c>
      <c r="K303" t="s">
        <v>28</v>
      </c>
      <c r="L303" t="s">
        <v>41</v>
      </c>
      <c r="M303">
        <v>87.16</v>
      </c>
      <c r="N303">
        <v>1026.44</v>
      </c>
      <c r="O303" t="s">
        <v>61</v>
      </c>
      <c r="P303">
        <v>20.82</v>
      </c>
      <c r="Q303" t="str">
        <f t="shared" si="32"/>
        <v>2020-05</v>
      </c>
      <c r="R303">
        <f t="shared" si="33"/>
        <v>2016.2522004815767</v>
      </c>
      <c r="S303">
        <f t="shared" si="34"/>
        <v>23.132769624616529</v>
      </c>
      <c r="T303" t="str">
        <f t="shared" si="35"/>
        <v>Punjab</v>
      </c>
      <c r="U303" t="str">
        <f t="shared" si="36"/>
        <v>Amritsar</v>
      </c>
      <c r="V303" t="str">
        <f t="shared" si="37"/>
        <v>Rice</v>
      </c>
      <c r="W303" t="str">
        <f t="shared" si="38"/>
        <v>Dap</v>
      </c>
      <c r="X303" t="str">
        <f t="shared" si="39"/>
        <v>Food</v>
      </c>
    </row>
    <row r="304" spans="1:24" x14ac:dyDescent="0.25">
      <c r="A304" t="s">
        <v>369</v>
      </c>
      <c r="B304" s="1">
        <v>42983</v>
      </c>
      <c r="C304">
        <v>2017</v>
      </c>
      <c r="D304" t="s">
        <v>59</v>
      </c>
      <c r="E304" t="s">
        <v>63</v>
      </c>
      <c r="F304" t="s">
        <v>33</v>
      </c>
      <c r="G304" t="s">
        <v>64</v>
      </c>
      <c r="H304">
        <v>75.39</v>
      </c>
      <c r="I304">
        <v>220.43</v>
      </c>
      <c r="J304">
        <v>2923.8</v>
      </c>
      <c r="K304" t="s">
        <v>34</v>
      </c>
      <c r="L304" t="s">
        <v>29</v>
      </c>
      <c r="M304">
        <v>292.54000000000002</v>
      </c>
      <c r="N304">
        <v>250.35</v>
      </c>
      <c r="O304" t="s">
        <v>42</v>
      </c>
      <c r="P304">
        <v>28.26</v>
      </c>
      <c r="Q304" t="str">
        <f t="shared" si="32"/>
        <v>2017-09</v>
      </c>
      <c r="R304">
        <f t="shared" si="33"/>
        <v>1183.2217073713605</v>
      </c>
      <c r="S304">
        <f t="shared" si="34"/>
        <v>4.0446493039288995</v>
      </c>
      <c r="T304" t="str">
        <f t="shared" si="35"/>
        <v>Bihar</v>
      </c>
      <c r="U304" t="str">
        <f t="shared" si="36"/>
        <v>Gaya</v>
      </c>
      <c r="V304" t="str">
        <f t="shared" si="37"/>
        <v>Wheat</v>
      </c>
      <c r="W304" t="str">
        <f t="shared" si="38"/>
        <v>Compost</v>
      </c>
      <c r="X304" t="str">
        <f t="shared" si="39"/>
        <v>Food</v>
      </c>
    </row>
    <row r="305" spans="1:24" x14ac:dyDescent="0.25">
      <c r="A305" t="s">
        <v>370</v>
      </c>
      <c r="B305" s="1">
        <v>40852</v>
      </c>
      <c r="C305">
        <v>2011</v>
      </c>
      <c r="D305" t="s">
        <v>44</v>
      </c>
      <c r="E305" t="s">
        <v>45</v>
      </c>
      <c r="F305" t="s">
        <v>38</v>
      </c>
      <c r="G305" t="s">
        <v>46</v>
      </c>
      <c r="H305">
        <v>80.319999999999993</v>
      </c>
      <c r="I305">
        <v>296.27</v>
      </c>
      <c r="J305">
        <v>3688.59</v>
      </c>
      <c r="K305" t="s">
        <v>28</v>
      </c>
      <c r="L305" t="s">
        <v>22</v>
      </c>
      <c r="M305">
        <v>161.77000000000001</v>
      </c>
      <c r="N305">
        <v>318.70999999999998</v>
      </c>
      <c r="O305" t="s">
        <v>52</v>
      </c>
      <c r="P305">
        <v>31.18</v>
      </c>
      <c r="Q305" t="str">
        <f t="shared" si="32"/>
        <v>2011-11</v>
      </c>
      <c r="R305">
        <f t="shared" si="33"/>
        <v>1492.721717488517</v>
      </c>
      <c r="S305">
        <f t="shared" si="34"/>
        <v>9.2274322648730731</v>
      </c>
      <c r="T305" t="str">
        <f t="shared" si="35"/>
        <v>West Bengal</v>
      </c>
      <c r="U305" t="str">
        <f t="shared" si="36"/>
        <v>Kolkata</v>
      </c>
      <c r="V305" t="str">
        <f t="shared" si="37"/>
        <v>Sugarcane</v>
      </c>
      <c r="W305" t="str">
        <f t="shared" si="38"/>
        <v>Urea</v>
      </c>
      <c r="X305" t="str">
        <f t="shared" si="39"/>
        <v>Cash</v>
      </c>
    </row>
    <row r="306" spans="1:24" x14ac:dyDescent="0.25">
      <c r="A306" t="s">
        <v>371</v>
      </c>
      <c r="B306" s="1">
        <v>40292</v>
      </c>
      <c r="C306">
        <v>2010</v>
      </c>
      <c r="D306" t="s">
        <v>36</v>
      </c>
      <c r="E306" t="s">
        <v>51</v>
      </c>
      <c r="F306" t="s">
        <v>19</v>
      </c>
      <c r="G306" t="s">
        <v>27</v>
      </c>
      <c r="H306">
        <v>1.02</v>
      </c>
      <c r="I306">
        <v>1.58</v>
      </c>
      <c r="J306">
        <v>1545.37</v>
      </c>
      <c r="K306" t="s">
        <v>34</v>
      </c>
      <c r="L306" t="s">
        <v>22</v>
      </c>
      <c r="M306">
        <v>272.52999999999997</v>
      </c>
      <c r="N306">
        <v>762.33</v>
      </c>
      <c r="O306" t="s">
        <v>52</v>
      </c>
      <c r="P306">
        <v>34.26</v>
      </c>
      <c r="Q306" t="str">
        <f t="shared" si="32"/>
        <v>2010-04</v>
      </c>
      <c r="R306">
        <f t="shared" si="33"/>
        <v>625.3900163897938</v>
      </c>
      <c r="S306">
        <f t="shared" si="34"/>
        <v>2.2947566007037534</v>
      </c>
      <c r="T306" t="str">
        <f t="shared" si="35"/>
        <v>Karnataka</v>
      </c>
      <c r="U306" t="str">
        <f t="shared" si="36"/>
        <v>Mysore</v>
      </c>
      <c r="V306" t="str">
        <f t="shared" si="37"/>
        <v>Pulses</v>
      </c>
      <c r="W306" t="str">
        <f t="shared" si="38"/>
        <v>Urea</v>
      </c>
      <c r="X306" t="str">
        <f t="shared" si="39"/>
        <v>Food</v>
      </c>
    </row>
    <row r="307" spans="1:24" x14ac:dyDescent="0.25">
      <c r="A307" t="s">
        <v>372</v>
      </c>
      <c r="B307" s="1">
        <v>43130</v>
      </c>
      <c r="C307">
        <v>2017</v>
      </c>
      <c r="D307" t="s">
        <v>44</v>
      </c>
      <c r="E307" t="s">
        <v>45</v>
      </c>
      <c r="F307" t="s">
        <v>38</v>
      </c>
      <c r="G307" t="s">
        <v>27</v>
      </c>
      <c r="H307">
        <v>76.97</v>
      </c>
      <c r="I307">
        <v>354.04</v>
      </c>
      <c r="J307">
        <v>4599.71</v>
      </c>
      <c r="K307" t="s">
        <v>34</v>
      </c>
      <c r="L307" t="s">
        <v>49</v>
      </c>
      <c r="M307">
        <v>228.98</v>
      </c>
      <c r="N307">
        <v>314.02</v>
      </c>
      <c r="O307" t="s">
        <v>42</v>
      </c>
      <c r="P307">
        <v>20.03</v>
      </c>
      <c r="Q307" t="str">
        <f t="shared" si="32"/>
        <v>2018-01</v>
      </c>
      <c r="R307">
        <f t="shared" si="33"/>
        <v>1861.4394690516178</v>
      </c>
      <c r="S307">
        <f t="shared" si="34"/>
        <v>8.1292666130300368</v>
      </c>
      <c r="T307" t="str">
        <f t="shared" si="35"/>
        <v>West Bengal</v>
      </c>
      <c r="U307" t="str">
        <f t="shared" si="36"/>
        <v>Kolkata</v>
      </c>
      <c r="V307" t="str">
        <f t="shared" si="37"/>
        <v>Pulses</v>
      </c>
      <c r="W307" t="str">
        <f t="shared" si="38"/>
        <v>Npk</v>
      </c>
      <c r="X307" t="str">
        <f t="shared" si="39"/>
        <v>Food</v>
      </c>
    </row>
    <row r="308" spans="1:24" x14ac:dyDescent="0.25">
      <c r="A308" t="s">
        <v>373</v>
      </c>
      <c r="B308" s="1">
        <v>42134</v>
      </c>
      <c r="C308">
        <v>2015</v>
      </c>
      <c r="D308" t="s">
        <v>59</v>
      </c>
      <c r="E308" t="s">
        <v>93</v>
      </c>
      <c r="F308" t="s">
        <v>19</v>
      </c>
      <c r="G308" t="s">
        <v>64</v>
      </c>
      <c r="H308">
        <v>5.53</v>
      </c>
      <c r="I308">
        <v>10.98</v>
      </c>
      <c r="J308">
        <v>1984.93</v>
      </c>
      <c r="K308" t="s">
        <v>40</v>
      </c>
      <c r="L308" t="s">
        <v>41</v>
      </c>
      <c r="M308">
        <v>255.46</v>
      </c>
      <c r="N308">
        <v>942.51</v>
      </c>
      <c r="O308" t="s">
        <v>52</v>
      </c>
      <c r="P308">
        <v>21.6</v>
      </c>
      <c r="Q308" t="str">
        <f t="shared" si="32"/>
        <v>2015-05</v>
      </c>
      <c r="R308">
        <f t="shared" si="33"/>
        <v>803.27391189979971</v>
      </c>
      <c r="S308">
        <f t="shared" si="34"/>
        <v>3.1444214824230787</v>
      </c>
      <c r="T308" t="str">
        <f t="shared" si="35"/>
        <v>Bihar</v>
      </c>
      <c r="U308" t="str">
        <f t="shared" si="36"/>
        <v>Bhagalpur</v>
      </c>
      <c r="V308" t="str">
        <f t="shared" si="37"/>
        <v>Wheat</v>
      </c>
      <c r="W308" t="str">
        <f t="shared" si="38"/>
        <v>Dap</v>
      </c>
      <c r="X308" t="str">
        <f t="shared" si="39"/>
        <v>Food</v>
      </c>
    </row>
    <row r="309" spans="1:24" x14ac:dyDescent="0.25">
      <c r="A309" t="s">
        <v>374</v>
      </c>
      <c r="B309" s="1">
        <v>42637</v>
      </c>
      <c r="C309">
        <v>2016</v>
      </c>
      <c r="D309" t="s">
        <v>103</v>
      </c>
      <c r="E309" t="s">
        <v>104</v>
      </c>
      <c r="F309" t="s">
        <v>33</v>
      </c>
      <c r="G309" t="s">
        <v>46</v>
      </c>
      <c r="H309">
        <v>82.63</v>
      </c>
      <c r="I309">
        <v>177.11</v>
      </c>
      <c r="J309">
        <v>2143.4699999999998</v>
      </c>
      <c r="K309" t="s">
        <v>34</v>
      </c>
      <c r="L309" t="s">
        <v>29</v>
      </c>
      <c r="M309">
        <v>76.94</v>
      </c>
      <c r="N309">
        <v>614.47</v>
      </c>
      <c r="O309" t="s">
        <v>61</v>
      </c>
      <c r="P309">
        <v>21.85</v>
      </c>
      <c r="Q309" t="str">
        <f t="shared" si="32"/>
        <v>2016-09</v>
      </c>
      <c r="R309">
        <f t="shared" si="33"/>
        <v>867.43287266546599</v>
      </c>
      <c r="S309">
        <f t="shared" si="34"/>
        <v>11.274147032303951</v>
      </c>
      <c r="T309" t="str">
        <f t="shared" si="35"/>
        <v>Haryana</v>
      </c>
      <c r="U309" t="str">
        <f t="shared" si="36"/>
        <v>Gurgaon</v>
      </c>
      <c r="V309" t="str">
        <f t="shared" si="37"/>
        <v>Sugarcane</v>
      </c>
      <c r="W309" t="str">
        <f t="shared" si="38"/>
        <v>Compost</v>
      </c>
      <c r="X309" t="str">
        <f t="shared" si="39"/>
        <v>Cash</v>
      </c>
    </row>
    <row r="310" spans="1:24" x14ac:dyDescent="0.25">
      <c r="A310" t="s">
        <v>375</v>
      </c>
      <c r="B310" s="1">
        <v>43297</v>
      </c>
      <c r="C310">
        <v>2018</v>
      </c>
      <c r="D310" t="s">
        <v>17</v>
      </c>
      <c r="E310" t="s">
        <v>54</v>
      </c>
      <c r="F310" t="s">
        <v>33</v>
      </c>
      <c r="G310" t="s">
        <v>46</v>
      </c>
      <c r="H310">
        <v>1.43</v>
      </c>
      <c r="I310">
        <v>7.75</v>
      </c>
      <c r="J310">
        <v>5417.28</v>
      </c>
      <c r="K310" t="s">
        <v>28</v>
      </c>
      <c r="L310" t="s">
        <v>47</v>
      </c>
      <c r="M310">
        <v>259.7</v>
      </c>
      <c r="N310">
        <v>682.93</v>
      </c>
      <c r="O310" t="s">
        <v>61</v>
      </c>
      <c r="P310">
        <v>31.72</v>
      </c>
      <c r="Q310" t="str">
        <f t="shared" si="32"/>
        <v>2018-07</v>
      </c>
      <c r="R310">
        <f t="shared" si="33"/>
        <v>2192.2988203395316</v>
      </c>
      <c r="S310">
        <f t="shared" si="34"/>
        <v>8.4416589154390902</v>
      </c>
      <c r="T310" t="str">
        <f t="shared" si="35"/>
        <v>Uttar Pradesh</v>
      </c>
      <c r="U310" t="str">
        <f t="shared" si="36"/>
        <v>Varanasi</v>
      </c>
      <c r="V310" t="str">
        <f t="shared" si="37"/>
        <v>Sugarcane</v>
      </c>
      <c r="W310" t="str">
        <f t="shared" si="38"/>
        <v>Vermicompost</v>
      </c>
      <c r="X310" t="str">
        <f t="shared" si="39"/>
        <v>Cash</v>
      </c>
    </row>
    <row r="311" spans="1:24" x14ac:dyDescent="0.25">
      <c r="A311" t="s">
        <v>376</v>
      </c>
      <c r="B311" s="1">
        <v>41124</v>
      </c>
      <c r="C311">
        <v>2012</v>
      </c>
      <c r="D311" t="s">
        <v>103</v>
      </c>
      <c r="E311" t="s">
        <v>228</v>
      </c>
      <c r="F311" t="s">
        <v>33</v>
      </c>
      <c r="G311" t="s">
        <v>46</v>
      </c>
      <c r="H311">
        <v>66.09</v>
      </c>
      <c r="I311">
        <v>306.45999999999998</v>
      </c>
      <c r="J311">
        <v>4636.96</v>
      </c>
      <c r="K311" t="s">
        <v>34</v>
      </c>
      <c r="L311" t="s">
        <v>49</v>
      </c>
      <c r="M311">
        <v>176.03</v>
      </c>
      <c r="N311">
        <v>584.66</v>
      </c>
      <c r="O311" t="s">
        <v>61</v>
      </c>
      <c r="P311">
        <v>33.74</v>
      </c>
      <c r="Q311" t="str">
        <f t="shared" si="32"/>
        <v>2012-08</v>
      </c>
      <c r="R311">
        <f t="shared" si="33"/>
        <v>1876.5140324963072</v>
      </c>
      <c r="S311">
        <f t="shared" si="34"/>
        <v>10.660194469671687</v>
      </c>
      <c r="T311" t="str">
        <f t="shared" si="35"/>
        <v>Haryana</v>
      </c>
      <c r="U311" t="str">
        <f t="shared" si="36"/>
        <v>Hisar</v>
      </c>
      <c r="V311" t="str">
        <f t="shared" si="37"/>
        <v>Sugarcane</v>
      </c>
      <c r="W311" t="str">
        <f t="shared" si="38"/>
        <v>Npk</v>
      </c>
      <c r="X311" t="str">
        <f t="shared" si="39"/>
        <v>Cash</v>
      </c>
    </row>
    <row r="312" spans="1:24" x14ac:dyDescent="0.25">
      <c r="A312" t="s">
        <v>377</v>
      </c>
      <c r="B312" s="1">
        <v>42085</v>
      </c>
      <c r="C312">
        <v>2014</v>
      </c>
      <c r="D312" t="s">
        <v>36</v>
      </c>
      <c r="E312" t="s">
        <v>51</v>
      </c>
      <c r="F312" t="s">
        <v>38</v>
      </c>
      <c r="G312" t="s">
        <v>56</v>
      </c>
      <c r="H312">
        <v>14.68</v>
      </c>
      <c r="I312">
        <v>67.75</v>
      </c>
      <c r="J312">
        <v>4615.1499999999996</v>
      </c>
      <c r="K312" t="s">
        <v>34</v>
      </c>
      <c r="L312" t="s">
        <v>41</v>
      </c>
      <c r="M312">
        <v>260.77</v>
      </c>
      <c r="N312">
        <v>747.81</v>
      </c>
      <c r="O312" t="s">
        <v>70</v>
      </c>
      <c r="P312">
        <v>30.68</v>
      </c>
      <c r="Q312" t="str">
        <f t="shared" si="32"/>
        <v>2015-03</v>
      </c>
      <c r="R312">
        <f t="shared" si="33"/>
        <v>1867.6878250136581</v>
      </c>
      <c r="S312">
        <f t="shared" si="34"/>
        <v>7.1622035702483346</v>
      </c>
      <c r="T312" t="str">
        <f t="shared" si="35"/>
        <v>Karnataka</v>
      </c>
      <c r="U312" t="str">
        <f t="shared" si="36"/>
        <v>Mysore</v>
      </c>
      <c r="V312" t="str">
        <f t="shared" si="37"/>
        <v>Rice</v>
      </c>
      <c r="W312" t="str">
        <f t="shared" si="38"/>
        <v>Dap</v>
      </c>
      <c r="X312" t="str">
        <f t="shared" si="39"/>
        <v>Food</v>
      </c>
    </row>
    <row r="313" spans="1:24" x14ac:dyDescent="0.25">
      <c r="A313" t="s">
        <v>378</v>
      </c>
      <c r="B313" s="1">
        <v>43600</v>
      </c>
      <c r="C313">
        <v>2019</v>
      </c>
      <c r="D313" t="s">
        <v>103</v>
      </c>
      <c r="E313" t="s">
        <v>104</v>
      </c>
      <c r="F313" t="s">
        <v>19</v>
      </c>
      <c r="G313" t="s">
        <v>20</v>
      </c>
      <c r="H313">
        <v>68.97</v>
      </c>
      <c r="I313">
        <v>450.18</v>
      </c>
      <c r="J313">
        <v>6527.15</v>
      </c>
      <c r="K313" t="s">
        <v>40</v>
      </c>
      <c r="L313" t="s">
        <v>49</v>
      </c>
      <c r="M313">
        <v>295.33</v>
      </c>
      <c r="N313">
        <v>850.09</v>
      </c>
      <c r="O313" t="s">
        <v>42</v>
      </c>
      <c r="P313">
        <v>27.56</v>
      </c>
      <c r="Q313" t="str">
        <f t="shared" si="32"/>
        <v>2019-05</v>
      </c>
      <c r="R313">
        <f t="shared" si="33"/>
        <v>2641.4479674632239</v>
      </c>
      <c r="S313">
        <f t="shared" si="34"/>
        <v>8.9440556918133076</v>
      </c>
      <c r="T313" t="str">
        <f t="shared" si="35"/>
        <v>Haryana</v>
      </c>
      <c r="U313" t="str">
        <f t="shared" si="36"/>
        <v>Gurgaon</v>
      </c>
      <c r="V313" t="str">
        <f t="shared" si="37"/>
        <v>Maize</v>
      </c>
      <c r="W313" t="str">
        <f t="shared" si="38"/>
        <v>Npk</v>
      </c>
      <c r="X313" t="str">
        <f t="shared" si="39"/>
        <v>Food</v>
      </c>
    </row>
    <row r="314" spans="1:24" x14ac:dyDescent="0.25">
      <c r="A314" t="s">
        <v>379</v>
      </c>
      <c r="B314" s="1">
        <v>44974</v>
      </c>
      <c r="C314">
        <v>2022</v>
      </c>
      <c r="D314" t="s">
        <v>17</v>
      </c>
      <c r="E314" t="s">
        <v>18</v>
      </c>
      <c r="F314" t="s">
        <v>38</v>
      </c>
      <c r="G314" t="s">
        <v>27</v>
      </c>
      <c r="H314">
        <v>48.56</v>
      </c>
      <c r="I314">
        <v>214.82</v>
      </c>
      <c r="J314">
        <v>4423.83</v>
      </c>
      <c r="K314" t="s">
        <v>28</v>
      </c>
      <c r="L314" t="s">
        <v>22</v>
      </c>
      <c r="M314">
        <v>218.56</v>
      </c>
      <c r="N314">
        <v>1093.8699999999999</v>
      </c>
      <c r="O314" t="s">
        <v>61</v>
      </c>
      <c r="P314">
        <v>24.29</v>
      </c>
      <c r="Q314" t="str">
        <f t="shared" si="32"/>
        <v>2023-02</v>
      </c>
      <c r="R314">
        <f t="shared" si="33"/>
        <v>1790.263248416665</v>
      </c>
      <c r="S314">
        <f t="shared" si="34"/>
        <v>8.1911751849225158</v>
      </c>
      <c r="T314" t="str">
        <f t="shared" si="35"/>
        <v>Uttar Pradesh</v>
      </c>
      <c r="U314" t="str">
        <f t="shared" si="36"/>
        <v>Lucknow</v>
      </c>
      <c r="V314" t="str">
        <f t="shared" si="37"/>
        <v>Pulses</v>
      </c>
      <c r="W314" t="str">
        <f t="shared" si="38"/>
        <v>Urea</v>
      </c>
      <c r="X314" t="str">
        <f t="shared" si="39"/>
        <v>Food</v>
      </c>
    </row>
    <row r="315" spans="1:24" x14ac:dyDescent="0.25">
      <c r="A315" t="s">
        <v>380</v>
      </c>
      <c r="B315" s="1">
        <v>40520</v>
      </c>
      <c r="C315">
        <v>2010</v>
      </c>
      <c r="D315" t="s">
        <v>59</v>
      </c>
      <c r="E315" t="s">
        <v>60</v>
      </c>
      <c r="F315" t="s">
        <v>38</v>
      </c>
      <c r="G315" t="s">
        <v>56</v>
      </c>
      <c r="H315">
        <v>6.25</v>
      </c>
      <c r="I315">
        <v>8.3699999999999992</v>
      </c>
      <c r="J315">
        <v>1339.63</v>
      </c>
      <c r="K315" t="s">
        <v>34</v>
      </c>
      <c r="L315" t="s">
        <v>22</v>
      </c>
      <c r="M315">
        <v>237.55</v>
      </c>
      <c r="N315">
        <v>360.94</v>
      </c>
      <c r="O315" t="s">
        <v>70</v>
      </c>
      <c r="P315">
        <v>30.25</v>
      </c>
      <c r="Q315" t="str">
        <f t="shared" si="32"/>
        <v>2010-12</v>
      </c>
      <c r="R315">
        <f t="shared" si="33"/>
        <v>542.12986382307122</v>
      </c>
      <c r="S315">
        <f t="shared" si="34"/>
        <v>2.2821716010232422</v>
      </c>
      <c r="T315" t="str">
        <f t="shared" si="35"/>
        <v>Bihar</v>
      </c>
      <c r="U315" t="str">
        <f t="shared" si="36"/>
        <v>Patna</v>
      </c>
      <c r="V315" t="str">
        <f t="shared" si="37"/>
        <v>Rice</v>
      </c>
      <c r="W315" t="str">
        <f t="shared" si="38"/>
        <v>Urea</v>
      </c>
      <c r="X315" t="str">
        <f t="shared" si="39"/>
        <v>Food</v>
      </c>
    </row>
    <row r="316" spans="1:24" x14ac:dyDescent="0.25">
      <c r="A316" t="s">
        <v>381</v>
      </c>
      <c r="B316" s="1">
        <v>41415</v>
      </c>
      <c r="C316">
        <v>2013</v>
      </c>
      <c r="D316" t="s">
        <v>17</v>
      </c>
      <c r="E316" t="s">
        <v>72</v>
      </c>
      <c r="F316" t="s">
        <v>19</v>
      </c>
      <c r="G316" t="s">
        <v>64</v>
      </c>
      <c r="H316">
        <v>36.51</v>
      </c>
      <c r="I316">
        <v>135.66</v>
      </c>
      <c r="J316">
        <v>3715.57</v>
      </c>
      <c r="K316" t="s">
        <v>40</v>
      </c>
      <c r="L316" t="s">
        <v>49</v>
      </c>
      <c r="M316">
        <v>235.6</v>
      </c>
      <c r="N316">
        <v>761.27</v>
      </c>
      <c r="O316" t="s">
        <v>42</v>
      </c>
      <c r="P316">
        <v>27.66</v>
      </c>
      <c r="Q316" t="str">
        <f t="shared" si="32"/>
        <v>2013-05</v>
      </c>
      <c r="R316">
        <f t="shared" si="33"/>
        <v>1503.640152971409</v>
      </c>
      <c r="S316">
        <f t="shared" si="34"/>
        <v>6.3821738241570838</v>
      </c>
      <c r="T316" t="str">
        <f t="shared" si="35"/>
        <v>Uttar Pradesh</v>
      </c>
      <c r="U316" t="str">
        <f t="shared" si="36"/>
        <v>Kanpur</v>
      </c>
      <c r="V316" t="str">
        <f t="shared" si="37"/>
        <v>Wheat</v>
      </c>
      <c r="W316" t="str">
        <f t="shared" si="38"/>
        <v>Npk</v>
      </c>
      <c r="X316" t="str">
        <f t="shared" si="39"/>
        <v>Food</v>
      </c>
    </row>
    <row r="317" spans="1:24" x14ac:dyDescent="0.25">
      <c r="A317" t="s">
        <v>382</v>
      </c>
      <c r="B317" s="1">
        <v>40596</v>
      </c>
      <c r="C317">
        <v>2010</v>
      </c>
      <c r="D317" t="s">
        <v>17</v>
      </c>
      <c r="E317" t="s">
        <v>54</v>
      </c>
      <c r="F317" t="s">
        <v>38</v>
      </c>
      <c r="G317" t="s">
        <v>46</v>
      </c>
      <c r="H317">
        <v>42.24</v>
      </c>
      <c r="I317">
        <v>241.98</v>
      </c>
      <c r="J317">
        <v>5728.67</v>
      </c>
      <c r="K317" t="s">
        <v>34</v>
      </c>
      <c r="L317" t="s">
        <v>41</v>
      </c>
      <c r="M317">
        <v>291.45999999999998</v>
      </c>
      <c r="N317">
        <v>253.8</v>
      </c>
      <c r="O317" t="s">
        <v>70</v>
      </c>
      <c r="P317">
        <v>23.05</v>
      </c>
      <c r="Q317" t="str">
        <f t="shared" si="32"/>
        <v>2011-02</v>
      </c>
      <c r="R317">
        <f t="shared" si="33"/>
        <v>2318.3140770117966</v>
      </c>
      <c r="S317">
        <f t="shared" si="34"/>
        <v>7.9541414842921734</v>
      </c>
      <c r="T317" t="str">
        <f t="shared" si="35"/>
        <v>Uttar Pradesh</v>
      </c>
      <c r="U317" t="str">
        <f t="shared" si="36"/>
        <v>Varanasi</v>
      </c>
      <c r="V317" t="str">
        <f t="shared" si="37"/>
        <v>Sugarcane</v>
      </c>
      <c r="W317" t="str">
        <f t="shared" si="38"/>
        <v>Dap</v>
      </c>
      <c r="X317" t="str">
        <f t="shared" si="39"/>
        <v>Cash</v>
      </c>
    </row>
    <row r="318" spans="1:24" x14ac:dyDescent="0.25">
      <c r="A318" t="s">
        <v>383</v>
      </c>
      <c r="B318" s="1">
        <v>44330</v>
      </c>
      <c r="C318">
        <v>2021</v>
      </c>
      <c r="D318" t="s">
        <v>17</v>
      </c>
      <c r="E318" t="s">
        <v>54</v>
      </c>
      <c r="F318" t="s">
        <v>19</v>
      </c>
      <c r="G318" t="s">
        <v>20</v>
      </c>
      <c r="H318">
        <v>75.760000000000005</v>
      </c>
      <c r="I318">
        <v>324.23</v>
      </c>
      <c r="J318">
        <v>4279.6899999999996</v>
      </c>
      <c r="K318" t="s">
        <v>40</v>
      </c>
      <c r="L318" t="s">
        <v>22</v>
      </c>
      <c r="M318">
        <v>244.04</v>
      </c>
      <c r="N318">
        <v>1164.29</v>
      </c>
      <c r="O318" t="s">
        <v>70</v>
      </c>
      <c r="P318">
        <v>26.73</v>
      </c>
      <c r="Q318" t="str">
        <f t="shared" si="32"/>
        <v>2021-05</v>
      </c>
      <c r="R318">
        <f t="shared" si="33"/>
        <v>1731.9317698953885</v>
      </c>
      <c r="S318">
        <f t="shared" si="34"/>
        <v>7.0969175950474863</v>
      </c>
      <c r="T318" t="str">
        <f t="shared" si="35"/>
        <v>Uttar Pradesh</v>
      </c>
      <c r="U318" t="str">
        <f t="shared" si="36"/>
        <v>Varanasi</v>
      </c>
      <c r="V318" t="str">
        <f t="shared" si="37"/>
        <v>Maize</v>
      </c>
      <c r="W318" t="str">
        <f t="shared" si="38"/>
        <v>Urea</v>
      </c>
      <c r="X318" t="str">
        <f t="shared" si="39"/>
        <v>Food</v>
      </c>
    </row>
    <row r="319" spans="1:24" x14ac:dyDescent="0.25">
      <c r="A319" t="s">
        <v>384</v>
      </c>
      <c r="B319" s="1">
        <v>44316</v>
      </c>
      <c r="C319">
        <v>2021</v>
      </c>
      <c r="D319" t="s">
        <v>103</v>
      </c>
      <c r="E319" t="s">
        <v>104</v>
      </c>
      <c r="F319" t="s">
        <v>19</v>
      </c>
      <c r="G319" t="s">
        <v>64</v>
      </c>
      <c r="H319">
        <v>38.340000000000003</v>
      </c>
      <c r="I319">
        <v>136.91</v>
      </c>
      <c r="J319">
        <v>3571.05</v>
      </c>
      <c r="K319" t="s">
        <v>34</v>
      </c>
      <c r="L319" t="s">
        <v>41</v>
      </c>
      <c r="M319">
        <v>82.52</v>
      </c>
      <c r="N319">
        <v>783.99</v>
      </c>
      <c r="O319" t="s">
        <v>70</v>
      </c>
      <c r="P319">
        <v>20.079999999999998</v>
      </c>
      <c r="Q319" t="str">
        <f t="shared" si="32"/>
        <v>2021-04</v>
      </c>
      <c r="R319">
        <f t="shared" si="33"/>
        <v>1445.1548936686834</v>
      </c>
      <c r="S319">
        <f t="shared" si="34"/>
        <v>17.512783490895341</v>
      </c>
      <c r="T319" t="str">
        <f t="shared" si="35"/>
        <v>Haryana</v>
      </c>
      <c r="U319" t="str">
        <f t="shared" si="36"/>
        <v>Gurgaon</v>
      </c>
      <c r="V319" t="str">
        <f t="shared" si="37"/>
        <v>Wheat</v>
      </c>
      <c r="W319" t="str">
        <f t="shared" si="38"/>
        <v>Dap</v>
      </c>
      <c r="X319" t="str">
        <f t="shared" si="39"/>
        <v>Food</v>
      </c>
    </row>
    <row r="320" spans="1:24" x14ac:dyDescent="0.25">
      <c r="A320" t="s">
        <v>385</v>
      </c>
      <c r="B320" s="1">
        <v>42140</v>
      </c>
      <c r="C320">
        <v>2015</v>
      </c>
      <c r="D320" t="s">
        <v>25</v>
      </c>
      <c r="E320" t="s">
        <v>26</v>
      </c>
      <c r="F320" t="s">
        <v>19</v>
      </c>
      <c r="G320" t="s">
        <v>64</v>
      </c>
      <c r="H320">
        <v>77.59</v>
      </c>
      <c r="I320">
        <v>368.72</v>
      </c>
      <c r="J320">
        <v>4752.2</v>
      </c>
      <c r="K320" t="s">
        <v>34</v>
      </c>
      <c r="L320" t="s">
        <v>49</v>
      </c>
      <c r="M320">
        <v>172.64</v>
      </c>
      <c r="N320">
        <v>772.68</v>
      </c>
      <c r="O320" t="s">
        <v>70</v>
      </c>
      <c r="P320">
        <v>21.09</v>
      </c>
      <c r="Q320" t="str">
        <f t="shared" si="32"/>
        <v>2015-05</v>
      </c>
      <c r="R320">
        <f t="shared" si="33"/>
        <v>1923.1500779021064</v>
      </c>
      <c r="S320">
        <f t="shared" si="34"/>
        <v>11.139655224178096</v>
      </c>
      <c r="T320" t="str">
        <f t="shared" si="35"/>
        <v>Punjab</v>
      </c>
      <c r="U320" t="str">
        <f t="shared" si="36"/>
        <v>Ludhiana</v>
      </c>
      <c r="V320" t="str">
        <f t="shared" si="37"/>
        <v>Wheat</v>
      </c>
      <c r="W320" t="str">
        <f t="shared" si="38"/>
        <v>Npk</v>
      </c>
      <c r="X320" t="str">
        <f t="shared" si="39"/>
        <v>Food</v>
      </c>
    </row>
    <row r="321" spans="1:24" x14ac:dyDescent="0.25">
      <c r="A321" t="s">
        <v>386</v>
      </c>
      <c r="B321" s="1">
        <v>41021</v>
      </c>
      <c r="C321">
        <v>2012</v>
      </c>
      <c r="D321" t="s">
        <v>59</v>
      </c>
      <c r="E321" t="s">
        <v>60</v>
      </c>
      <c r="F321" t="s">
        <v>19</v>
      </c>
      <c r="G321" t="s">
        <v>64</v>
      </c>
      <c r="H321">
        <v>78.84</v>
      </c>
      <c r="I321">
        <v>154.22999999999999</v>
      </c>
      <c r="J321">
        <v>1956.22</v>
      </c>
      <c r="K321" t="s">
        <v>28</v>
      </c>
      <c r="L321" t="s">
        <v>49</v>
      </c>
      <c r="M321">
        <v>72.989999999999995</v>
      </c>
      <c r="N321">
        <v>421.2</v>
      </c>
      <c r="O321" t="s">
        <v>42</v>
      </c>
      <c r="P321">
        <v>29.95</v>
      </c>
      <c r="Q321" t="str">
        <f t="shared" si="32"/>
        <v>2012-04</v>
      </c>
      <c r="R321">
        <f t="shared" si="33"/>
        <v>791.6553691750471</v>
      </c>
      <c r="S321">
        <f t="shared" si="34"/>
        <v>10.846079862653065</v>
      </c>
      <c r="T321" t="str">
        <f t="shared" si="35"/>
        <v>Bihar</v>
      </c>
      <c r="U321" t="str">
        <f t="shared" si="36"/>
        <v>Patna</v>
      </c>
      <c r="V321" t="str">
        <f t="shared" si="37"/>
        <v>Wheat</v>
      </c>
      <c r="W321" t="str">
        <f t="shared" si="38"/>
        <v>Npk</v>
      </c>
      <c r="X321" t="str">
        <f t="shared" si="39"/>
        <v>Food</v>
      </c>
    </row>
    <row r="322" spans="1:24" x14ac:dyDescent="0.25">
      <c r="A322" t="s">
        <v>387</v>
      </c>
      <c r="B322" s="1">
        <v>44691</v>
      </c>
      <c r="C322">
        <v>2022</v>
      </c>
      <c r="D322" t="s">
        <v>31</v>
      </c>
      <c r="E322" t="s">
        <v>82</v>
      </c>
      <c r="F322" t="s">
        <v>19</v>
      </c>
      <c r="G322" t="s">
        <v>27</v>
      </c>
      <c r="H322">
        <v>48.01</v>
      </c>
      <c r="I322">
        <v>209.71</v>
      </c>
      <c r="J322">
        <v>4368.01</v>
      </c>
      <c r="K322" t="s">
        <v>21</v>
      </c>
      <c r="L322" t="s">
        <v>47</v>
      </c>
      <c r="M322">
        <v>78.680000000000007</v>
      </c>
      <c r="N322">
        <v>546.01</v>
      </c>
      <c r="O322" t="s">
        <v>42</v>
      </c>
      <c r="P322">
        <v>33.57</v>
      </c>
      <c r="Q322" t="str">
        <f t="shared" ref="Q322:Q385" si="40">TEXT(B322,"yyyy-mm")</f>
        <v>2022-05</v>
      </c>
      <c r="R322">
        <f t="shared" ref="R322:R385" si="41">J322/2.47105</f>
        <v>1767.6736609943143</v>
      </c>
      <c r="S322">
        <f t="shared" ref="S322:S385" si="42">R322/M322</f>
        <v>22.466619992301908</v>
      </c>
      <c r="T322" t="str">
        <f t="shared" ref="T322:T385" si="43">PROPER(TRIM(D322))</f>
        <v>Maharashtra</v>
      </c>
      <c r="U322" t="str">
        <f t="shared" ref="U322:U385" si="44">PROPER(TRIM(E322))</f>
        <v>Nagpur</v>
      </c>
      <c r="V322" t="str">
        <f t="shared" ref="V322:V385" si="45">PROPER(TRIM(G322))</f>
        <v>Pulses</v>
      </c>
      <c r="W322" t="str">
        <f t="shared" ref="W322:W385" si="46">PROPER(TRIM(L322))</f>
        <v>Vermicompost</v>
      </c>
      <c r="X322" t="str">
        <f t="shared" ref="X322:X385" si="47">IF(OR(V322="Wheat",V322="Rice",V322="Maize",V322="Pulses"),"Food","Cash")</f>
        <v>Food</v>
      </c>
    </row>
    <row r="323" spans="1:24" x14ac:dyDescent="0.25">
      <c r="A323" t="s">
        <v>388</v>
      </c>
      <c r="B323" s="1">
        <v>44231</v>
      </c>
      <c r="C323">
        <v>2020</v>
      </c>
      <c r="D323" t="s">
        <v>103</v>
      </c>
      <c r="E323" t="s">
        <v>104</v>
      </c>
      <c r="F323" t="s">
        <v>38</v>
      </c>
      <c r="G323" t="s">
        <v>46</v>
      </c>
      <c r="H323">
        <v>91.68</v>
      </c>
      <c r="I323">
        <v>611.5</v>
      </c>
      <c r="J323">
        <v>6669.93</v>
      </c>
      <c r="K323" t="s">
        <v>28</v>
      </c>
      <c r="L323" t="s">
        <v>47</v>
      </c>
      <c r="M323">
        <v>114.15</v>
      </c>
      <c r="N323">
        <v>923.98</v>
      </c>
      <c r="O323" t="s">
        <v>23</v>
      </c>
      <c r="P323">
        <v>33.67</v>
      </c>
      <c r="Q323" t="str">
        <f t="shared" si="40"/>
        <v>2021-02</v>
      </c>
      <c r="R323">
        <f t="shared" si="41"/>
        <v>2699.2290726614192</v>
      </c>
      <c r="S323">
        <f t="shared" si="42"/>
        <v>23.646334407896795</v>
      </c>
      <c r="T323" t="str">
        <f t="shared" si="43"/>
        <v>Haryana</v>
      </c>
      <c r="U323" t="str">
        <f t="shared" si="44"/>
        <v>Gurgaon</v>
      </c>
      <c r="V323" t="str">
        <f t="shared" si="45"/>
        <v>Sugarcane</v>
      </c>
      <c r="W323" t="str">
        <f t="shared" si="46"/>
        <v>Vermicompost</v>
      </c>
      <c r="X323" t="str">
        <f t="shared" si="47"/>
        <v>Cash</v>
      </c>
    </row>
    <row r="324" spans="1:24" x14ac:dyDescent="0.25">
      <c r="A324" t="s">
        <v>389</v>
      </c>
      <c r="B324" s="1">
        <v>43177</v>
      </c>
      <c r="C324">
        <v>2017</v>
      </c>
      <c r="D324" t="s">
        <v>44</v>
      </c>
      <c r="E324" t="s">
        <v>67</v>
      </c>
      <c r="F324" t="s">
        <v>38</v>
      </c>
      <c r="G324" t="s">
        <v>64</v>
      </c>
      <c r="H324">
        <v>30.35</v>
      </c>
      <c r="I324">
        <v>148.99</v>
      </c>
      <c r="J324">
        <v>4909.17</v>
      </c>
      <c r="K324" t="s">
        <v>34</v>
      </c>
      <c r="L324" t="s">
        <v>47</v>
      </c>
      <c r="M324">
        <v>178.47</v>
      </c>
      <c r="N324">
        <v>1148.21</v>
      </c>
      <c r="O324" t="s">
        <v>42</v>
      </c>
      <c r="P324">
        <v>34.57</v>
      </c>
      <c r="Q324" t="str">
        <f t="shared" si="40"/>
        <v>2018-03</v>
      </c>
      <c r="R324">
        <f t="shared" si="41"/>
        <v>1986.6736812286276</v>
      </c>
      <c r="S324">
        <f t="shared" si="42"/>
        <v>11.131695417877669</v>
      </c>
      <c r="T324" t="str">
        <f t="shared" si="43"/>
        <v>West Bengal</v>
      </c>
      <c r="U324" t="str">
        <f t="shared" si="44"/>
        <v>Darjeeling</v>
      </c>
      <c r="V324" t="str">
        <f t="shared" si="45"/>
        <v>Wheat</v>
      </c>
      <c r="W324" t="str">
        <f t="shared" si="46"/>
        <v>Vermicompost</v>
      </c>
      <c r="X324" t="str">
        <f t="shared" si="47"/>
        <v>Food</v>
      </c>
    </row>
    <row r="325" spans="1:24" x14ac:dyDescent="0.25">
      <c r="A325" t="s">
        <v>390</v>
      </c>
      <c r="B325" s="1">
        <v>40713</v>
      </c>
      <c r="C325">
        <v>2011</v>
      </c>
      <c r="D325" t="s">
        <v>25</v>
      </c>
      <c r="E325" t="s">
        <v>69</v>
      </c>
      <c r="F325" t="s">
        <v>33</v>
      </c>
      <c r="G325" t="s">
        <v>39</v>
      </c>
      <c r="H325">
        <v>63.32</v>
      </c>
      <c r="I325">
        <v>144.31</v>
      </c>
      <c r="J325">
        <v>2279.0500000000002</v>
      </c>
      <c r="K325" t="s">
        <v>28</v>
      </c>
      <c r="L325" t="s">
        <v>41</v>
      </c>
      <c r="M325">
        <v>258.92</v>
      </c>
      <c r="N325">
        <v>405.58</v>
      </c>
      <c r="O325" t="s">
        <v>52</v>
      </c>
      <c r="P325">
        <v>29.7</v>
      </c>
      <c r="Q325" t="str">
        <f t="shared" si="40"/>
        <v>2011-06</v>
      </c>
      <c r="R325">
        <f t="shared" si="41"/>
        <v>922.30023674146628</v>
      </c>
      <c r="S325">
        <f t="shared" si="42"/>
        <v>3.5621050391683386</v>
      </c>
      <c r="T325" t="str">
        <f t="shared" si="43"/>
        <v>Punjab</v>
      </c>
      <c r="U325" t="str">
        <f t="shared" si="44"/>
        <v>Patiala</v>
      </c>
      <c r="V325" t="str">
        <f t="shared" si="45"/>
        <v>Cotton</v>
      </c>
      <c r="W325" t="str">
        <f t="shared" si="46"/>
        <v>Dap</v>
      </c>
      <c r="X325" t="str">
        <f t="shared" si="47"/>
        <v>Cash</v>
      </c>
    </row>
    <row r="326" spans="1:24" x14ac:dyDescent="0.25">
      <c r="A326" t="s">
        <v>391</v>
      </c>
      <c r="B326" s="1">
        <v>44605</v>
      </c>
      <c r="C326">
        <v>2021</v>
      </c>
      <c r="D326" t="s">
        <v>25</v>
      </c>
      <c r="E326" t="s">
        <v>87</v>
      </c>
      <c r="F326" t="s">
        <v>38</v>
      </c>
      <c r="G326" t="s">
        <v>64</v>
      </c>
      <c r="H326">
        <v>9.66</v>
      </c>
      <c r="I326">
        <v>12.81</v>
      </c>
      <c r="J326">
        <v>1325.61</v>
      </c>
      <c r="K326" t="s">
        <v>34</v>
      </c>
      <c r="L326" t="s">
        <v>29</v>
      </c>
      <c r="M326">
        <v>189.52</v>
      </c>
      <c r="N326">
        <v>774.96</v>
      </c>
      <c r="O326" t="s">
        <v>42</v>
      </c>
      <c r="P326">
        <v>33.659999999999997</v>
      </c>
      <c r="Q326" t="str">
        <f t="shared" si="40"/>
        <v>2022-02</v>
      </c>
      <c r="R326">
        <f t="shared" si="41"/>
        <v>536.45616236013029</v>
      </c>
      <c r="S326">
        <f t="shared" si="42"/>
        <v>2.8306044869149973</v>
      </c>
      <c r="T326" t="str">
        <f t="shared" si="43"/>
        <v>Punjab</v>
      </c>
      <c r="U326" t="str">
        <f t="shared" si="44"/>
        <v>Amritsar</v>
      </c>
      <c r="V326" t="str">
        <f t="shared" si="45"/>
        <v>Wheat</v>
      </c>
      <c r="W326" t="str">
        <f t="shared" si="46"/>
        <v>Compost</v>
      </c>
      <c r="X326" t="str">
        <f t="shared" si="47"/>
        <v>Food</v>
      </c>
    </row>
    <row r="327" spans="1:24" x14ac:dyDescent="0.25">
      <c r="A327" t="s">
        <v>392</v>
      </c>
      <c r="B327" s="1">
        <v>42693</v>
      </c>
      <c r="C327">
        <v>2016</v>
      </c>
      <c r="D327" t="s">
        <v>36</v>
      </c>
      <c r="E327" t="s">
        <v>77</v>
      </c>
      <c r="F327" t="s">
        <v>38</v>
      </c>
      <c r="G327" t="s">
        <v>20</v>
      </c>
      <c r="H327">
        <v>2.67</v>
      </c>
      <c r="I327">
        <v>13.46</v>
      </c>
      <c r="J327">
        <v>5039.79</v>
      </c>
      <c r="K327" t="s">
        <v>21</v>
      </c>
      <c r="L327" t="s">
        <v>49</v>
      </c>
      <c r="M327">
        <v>210.36</v>
      </c>
      <c r="N327">
        <v>818.35</v>
      </c>
      <c r="O327" t="s">
        <v>61</v>
      </c>
      <c r="P327">
        <v>20.68</v>
      </c>
      <c r="Q327" t="str">
        <f t="shared" si="40"/>
        <v>2016-11</v>
      </c>
      <c r="R327">
        <f t="shared" si="41"/>
        <v>2039.5338014204488</v>
      </c>
      <c r="S327">
        <f t="shared" si="42"/>
        <v>9.6954449582641598</v>
      </c>
      <c r="T327" t="str">
        <f t="shared" si="43"/>
        <v>Karnataka</v>
      </c>
      <c r="U327" t="str">
        <f t="shared" si="44"/>
        <v>Hubli</v>
      </c>
      <c r="V327" t="str">
        <f t="shared" si="45"/>
        <v>Maize</v>
      </c>
      <c r="W327" t="str">
        <f t="shared" si="46"/>
        <v>Npk</v>
      </c>
      <c r="X327" t="str">
        <f t="shared" si="47"/>
        <v>Food</v>
      </c>
    </row>
    <row r="328" spans="1:24" x14ac:dyDescent="0.25">
      <c r="A328" t="s">
        <v>393</v>
      </c>
      <c r="B328" s="1">
        <v>41764</v>
      </c>
      <c r="C328">
        <v>2014</v>
      </c>
      <c r="D328" t="s">
        <v>59</v>
      </c>
      <c r="E328" t="s">
        <v>60</v>
      </c>
      <c r="F328" t="s">
        <v>19</v>
      </c>
      <c r="G328" t="s">
        <v>20</v>
      </c>
      <c r="H328">
        <v>61.05</v>
      </c>
      <c r="I328">
        <v>164.17</v>
      </c>
      <c r="J328">
        <v>2689.1</v>
      </c>
      <c r="K328" t="s">
        <v>28</v>
      </c>
      <c r="L328" t="s">
        <v>41</v>
      </c>
      <c r="M328">
        <v>145.35</v>
      </c>
      <c r="N328">
        <v>1022.12</v>
      </c>
      <c r="O328" t="s">
        <v>23</v>
      </c>
      <c r="P328">
        <v>27.11</v>
      </c>
      <c r="Q328" t="str">
        <f t="shared" si="40"/>
        <v>2014-05</v>
      </c>
      <c r="R328">
        <f t="shared" si="41"/>
        <v>1088.2418405131421</v>
      </c>
      <c r="S328">
        <f t="shared" si="42"/>
        <v>7.4870439663786863</v>
      </c>
      <c r="T328" t="str">
        <f t="shared" si="43"/>
        <v>Bihar</v>
      </c>
      <c r="U328" t="str">
        <f t="shared" si="44"/>
        <v>Patna</v>
      </c>
      <c r="V328" t="str">
        <f t="shared" si="45"/>
        <v>Maize</v>
      </c>
      <c r="W328" t="str">
        <f t="shared" si="46"/>
        <v>Dap</v>
      </c>
      <c r="X328" t="str">
        <f t="shared" si="47"/>
        <v>Food</v>
      </c>
    </row>
    <row r="329" spans="1:24" x14ac:dyDescent="0.25">
      <c r="A329" t="s">
        <v>394</v>
      </c>
      <c r="B329" s="1">
        <v>42463</v>
      </c>
      <c r="C329">
        <v>2016</v>
      </c>
      <c r="D329" t="s">
        <v>103</v>
      </c>
      <c r="E329" t="s">
        <v>228</v>
      </c>
      <c r="F329" t="s">
        <v>19</v>
      </c>
      <c r="G329" t="s">
        <v>20</v>
      </c>
      <c r="H329">
        <v>96.05</v>
      </c>
      <c r="I329">
        <v>179.08</v>
      </c>
      <c r="J329">
        <v>1864.45</v>
      </c>
      <c r="K329" t="s">
        <v>34</v>
      </c>
      <c r="L329" t="s">
        <v>22</v>
      </c>
      <c r="M329">
        <v>289.35000000000002</v>
      </c>
      <c r="N329">
        <v>211.15</v>
      </c>
      <c r="O329" t="s">
        <v>61</v>
      </c>
      <c r="P329">
        <v>22.12</v>
      </c>
      <c r="Q329" t="str">
        <f t="shared" si="40"/>
        <v>2016-04</v>
      </c>
      <c r="R329">
        <f t="shared" si="41"/>
        <v>754.51731045506972</v>
      </c>
      <c r="S329">
        <f t="shared" si="42"/>
        <v>2.6076285137552087</v>
      </c>
      <c r="T329" t="str">
        <f t="shared" si="43"/>
        <v>Haryana</v>
      </c>
      <c r="U329" t="str">
        <f t="shared" si="44"/>
        <v>Hisar</v>
      </c>
      <c r="V329" t="str">
        <f t="shared" si="45"/>
        <v>Maize</v>
      </c>
      <c r="W329" t="str">
        <f t="shared" si="46"/>
        <v>Urea</v>
      </c>
      <c r="X329" t="str">
        <f t="shared" si="47"/>
        <v>Food</v>
      </c>
    </row>
    <row r="330" spans="1:24" x14ac:dyDescent="0.25">
      <c r="A330" t="s">
        <v>395</v>
      </c>
      <c r="B330" s="1">
        <v>42472</v>
      </c>
      <c r="C330">
        <v>2016</v>
      </c>
      <c r="D330" t="s">
        <v>59</v>
      </c>
      <c r="E330" t="s">
        <v>93</v>
      </c>
      <c r="F330" t="s">
        <v>19</v>
      </c>
      <c r="G330" t="s">
        <v>27</v>
      </c>
      <c r="H330">
        <v>94.75</v>
      </c>
      <c r="I330">
        <v>267.97000000000003</v>
      </c>
      <c r="J330">
        <v>2828.15</v>
      </c>
      <c r="K330" t="s">
        <v>34</v>
      </c>
      <c r="L330" t="s">
        <v>41</v>
      </c>
      <c r="M330">
        <v>102.93</v>
      </c>
      <c r="N330">
        <v>1105.6300000000001</v>
      </c>
      <c r="O330" t="s">
        <v>61</v>
      </c>
      <c r="P330">
        <v>22.14</v>
      </c>
      <c r="Q330" t="str">
        <f t="shared" si="40"/>
        <v>2016-04</v>
      </c>
      <c r="R330">
        <f t="shared" si="41"/>
        <v>1144.5134659355335</v>
      </c>
      <c r="S330">
        <f t="shared" si="42"/>
        <v>11.119338054362514</v>
      </c>
      <c r="T330" t="str">
        <f t="shared" si="43"/>
        <v>Bihar</v>
      </c>
      <c r="U330" t="str">
        <f t="shared" si="44"/>
        <v>Bhagalpur</v>
      </c>
      <c r="V330" t="str">
        <f t="shared" si="45"/>
        <v>Pulses</v>
      </c>
      <c r="W330" t="str">
        <f t="shared" si="46"/>
        <v>Dap</v>
      </c>
      <c r="X330" t="str">
        <f t="shared" si="47"/>
        <v>Food</v>
      </c>
    </row>
    <row r="331" spans="1:24" x14ac:dyDescent="0.25">
      <c r="A331" t="s">
        <v>396</v>
      </c>
      <c r="B331" s="1">
        <v>41566</v>
      </c>
      <c r="C331">
        <v>2013</v>
      </c>
      <c r="D331" t="s">
        <v>59</v>
      </c>
      <c r="E331" t="s">
        <v>63</v>
      </c>
      <c r="F331" t="s">
        <v>33</v>
      </c>
      <c r="G331" t="s">
        <v>56</v>
      </c>
      <c r="H331">
        <v>67.430000000000007</v>
      </c>
      <c r="I331">
        <v>296.95</v>
      </c>
      <c r="J331">
        <v>4403.76</v>
      </c>
      <c r="K331" t="s">
        <v>21</v>
      </c>
      <c r="L331" t="s">
        <v>22</v>
      </c>
      <c r="M331">
        <v>262.85000000000002</v>
      </c>
      <c r="N331">
        <v>1132.3699999999999</v>
      </c>
      <c r="O331" t="s">
        <v>61</v>
      </c>
      <c r="P331">
        <v>26.92</v>
      </c>
      <c r="Q331" t="str">
        <f t="shared" si="40"/>
        <v>2013-10</v>
      </c>
      <c r="R331">
        <f t="shared" si="41"/>
        <v>1782.1411950385466</v>
      </c>
      <c r="S331">
        <f t="shared" si="42"/>
        <v>6.7800692221363761</v>
      </c>
      <c r="T331" t="str">
        <f t="shared" si="43"/>
        <v>Bihar</v>
      </c>
      <c r="U331" t="str">
        <f t="shared" si="44"/>
        <v>Gaya</v>
      </c>
      <c r="V331" t="str">
        <f t="shared" si="45"/>
        <v>Rice</v>
      </c>
      <c r="W331" t="str">
        <f t="shared" si="46"/>
        <v>Urea</v>
      </c>
      <c r="X331" t="str">
        <f t="shared" si="47"/>
        <v>Food</v>
      </c>
    </row>
    <row r="332" spans="1:24" x14ac:dyDescent="0.25">
      <c r="A332" t="s">
        <v>397</v>
      </c>
      <c r="B332" s="1">
        <v>40865</v>
      </c>
      <c r="C332">
        <v>2011</v>
      </c>
      <c r="D332" t="s">
        <v>31</v>
      </c>
      <c r="E332" t="s">
        <v>117</v>
      </c>
      <c r="F332" t="s">
        <v>38</v>
      </c>
      <c r="G332" t="s">
        <v>64</v>
      </c>
      <c r="H332">
        <v>20.54</v>
      </c>
      <c r="I332">
        <v>92.09</v>
      </c>
      <c r="J332">
        <v>4483.57</v>
      </c>
      <c r="K332" t="s">
        <v>34</v>
      </c>
      <c r="L332" t="s">
        <v>41</v>
      </c>
      <c r="M332">
        <v>139.28</v>
      </c>
      <c r="N332">
        <v>871.3</v>
      </c>
      <c r="O332" t="s">
        <v>42</v>
      </c>
      <c r="P332">
        <v>21.5</v>
      </c>
      <c r="Q332" t="str">
        <f t="shared" si="40"/>
        <v>2011-11</v>
      </c>
      <c r="R332">
        <f t="shared" si="41"/>
        <v>1814.4392060055441</v>
      </c>
      <c r="S332">
        <f t="shared" si="42"/>
        <v>13.027277469884721</v>
      </c>
      <c r="T332" t="str">
        <f t="shared" si="43"/>
        <v>Maharashtra</v>
      </c>
      <c r="U332" t="str">
        <f t="shared" si="44"/>
        <v>Mumbai</v>
      </c>
      <c r="V332" t="str">
        <f t="shared" si="45"/>
        <v>Wheat</v>
      </c>
      <c r="W332" t="str">
        <f t="shared" si="46"/>
        <v>Dap</v>
      </c>
      <c r="X332" t="str">
        <f t="shared" si="47"/>
        <v>Food</v>
      </c>
    </row>
    <row r="333" spans="1:24" x14ac:dyDescent="0.25">
      <c r="A333" t="s">
        <v>398</v>
      </c>
      <c r="B333" s="1">
        <v>43083</v>
      </c>
      <c r="C333">
        <v>2017</v>
      </c>
      <c r="D333" t="s">
        <v>31</v>
      </c>
      <c r="E333" t="s">
        <v>32</v>
      </c>
      <c r="F333" t="s">
        <v>38</v>
      </c>
      <c r="G333" t="s">
        <v>27</v>
      </c>
      <c r="H333">
        <v>66.28</v>
      </c>
      <c r="I333">
        <v>342.05</v>
      </c>
      <c r="J333">
        <v>5160.75</v>
      </c>
      <c r="K333" t="s">
        <v>40</v>
      </c>
      <c r="L333" t="s">
        <v>22</v>
      </c>
      <c r="M333">
        <v>191.39</v>
      </c>
      <c r="N333">
        <v>564.49</v>
      </c>
      <c r="O333" t="s">
        <v>70</v>
      </c>
      <c r="P333">
        <v>34.380000000000003</v>
      </c>
      <c r="Q333" t="str">
        <f t="shared" si="40"/>
        <v>2017-12</v>
      </c>
      <c r="R333">
        <f t="shared" si="41"/>
        <v>2088.4846522733251</v>
      </c>
      <c r="S333">
        <f t="shared" si="42"/>
        <v>10.91219317766511</v>
      </c>
      <c r="T333" t="str">
        <f t="shared" si="43"/>
        <v>Maharashtra</v>
      </c>
      <c r="U333" t="str">
        <f t="shared" si="44"/>
        <v>Pune</v>
      </c>
      <c r="V333" t="str">
        <f t="shared" si="45"/>
        <v>Pulses</v>
      </c>
      <c r="W333" t="str">
        <f t="shared" si="46"/>
        <v>Urea</v>
      </c>
      <c r="X333" t="str">
        <f t="shared" si="47"/>
        <v>Food</v>
      </c>
    </row>
    <row r="334" spans="1:24" x14ac:dyDescent="0.25">
      <c r="A334" t="s">
        <v>399</v>
      </c>
      <c r="B334" s="1">
        <v>44804</v>
      </c>
      <c r="C334">
        <v>2022</v>
      </c>
      <c r="D334" t="s">
        <v>31</v>
      </c>
      <c r="E334" t="s">
        <v>82</v>
      </c>
      <c r="F334" t="s">
        <v>33</v>
      </c>
      <c r="G334" t="s">
        <v>39</v>
      </c>
      <c r="H334">
        <v>74.239999999999995</v>
      </c>
      <c r="I334">
        <v>268.51</v>
      </c>
      <c r="J334">
        <v>3616.74</v>
      </c>
      <c r="K334" t="s">
        <v>34</v>
      </c>
      <c r="L334" t="s">
        <v>49</v>
      </c>
      <c r="M334">
        <v>83.58</v>
      </c>
      <c r="N334">
        <v>932.97</v>
      </c>
      <c r="O334" t="s">
        <v>52</v>
      </c>
      <c r="P334">
        <v>26.94</v>
      </c>
      <c r="Q334" t="str">
        <f t="shared" si="40"/>
        <v>2022-08</v>
      </c>
      <c r="R334">
        <f t="shared" si="41"/>
        <v>1463.6450092066125</v>
      </c>
      <c r="S334">
        <f t="shared" si="42"/>
        <v>17.511904872058057</v>
      </c>
      <c r="T334" t="str">
        <f t="shared" si="43"/>
        <v>Maharashtra</v>
      </c>
      <c r="U334" t="str">
        <f t="shared" si="44"/>
        <v>Nagpur</v>
      </c>
      <c r="V334" t="str">
        <f t="shared" si="45"/>
        <v>Cotton</v>
      </c>
      <c r="W334" t="str">
        <f t="shared" si="46"/>
        <v>Npk</v>
      </c>
      <c r="X334" t="str">
        <f t="shared" si="47"/>
        <v>Cash</v>
      </c>
    </row>
    <row r="335" spans="1:24" x14ac:dyDescent="0.25">
      <c r="A335" t="s">
        <v>400</v>
      </c>
      <c r="B335" s="1">
        <v>40699</v>
      </c>
      <c r="C335">
        <v>2011</v>
      </c>
      <c r="D335" t="s">
        <v>36</v>
      </c>
      <c r="E335" t="s">
        <v>77</v>
      </c>
      <c r="F335" t="s">
        <v>33</v>
      </c>
      <c r="G335" t="s">
        <v>39</v>
      </c>
      <c r="H335">
        <v>61.06</v>
      </c>
      <c r="I335">
        <v>369.46</v>
      </c>
      <c r="J335">
        <v>6050.76</v>
      </c>
      <c r="K335" t="s">
        <v>40</v>
      </c>
      <c r="L335" t="s">
        <v>47</v>
      </c>
      <c r="M335">
        <v>272.82</v>
      </c>
      <c r="N335">
        <v>396.43</v>
      </c>
      <c r="O335" t="s">
        <v>23</v>
      </c>
      <c r="P335">
        <v>30.91</v>
      </c>
      <c r="Q335" t="str">
        <f t="shared" si="40"/>
        <v>2011-06</v>
      </c>
      <c r="R335">
        <f t="shared" si="41"/>
        <v>2448.6594767406568</v>
      </c>
      <c r="S335">
        <f t="shared" si="42"/>
        <v>8.9753664567871017</v>
      </c>
      <c r="T335" t="str">
        <f t="shared" si="43"/>
        <v>Karnataka</v>
      </c>
      <c r="U335" t="str">
        <f t="shared" si="44"/>
        <v>Hubli</v>
      </c>
      <c r="V335" t="str">
        <f t="shared" si="45"/>
        <v>Cotton</v>
      </c>
      <c r="W335" t="str">
        <f t="shared" si="46"/>
        <v>Vermicompost</v>
      </c>
      <c r="X335" t="str">
        <f t="shared" si="47"/>
        <v>Cash</v>
      </c>
    </row>
    <row r="336" spans="1:24" x14ac:dyDescent="0.25">
      <c r="A336" t="s">
        <v>401</v>
      </c>
      <c r="B336" s="1">
        <v>43605</v>
      </c>
      <c r="C336">
        <v>2019</v>
      </c>
      <c r="D336" t="s">
        <v>17</v>
      </c>
      <c r="E336" t="s">
        <v>18</v>
      </c>
      <c r="F336" t="s">
        <v>19</v>
      </c>
      <c r="G336" t="s">
        <v>46</v>
      </c>
      <c r="H336">
        <v>77.150000000000006</v>
      </c>
      <c r="I336">
        <v>175.64</v>
      </c>
      <c r="J336">
        <v>2276.56</v>
      </c>
      <c r="K336" t="s">
        <v>21</v>
      </c>
      <c r="L336" t="s">
        <v>41</v>
      </c>
      <c r="M336">
        <v>187.9</v>
      </c>
      <c r="N336">
        <v>743.47</v>
      </c>
      <c r="O336" t="s">
        <v>61</v>
      </c>
      <c r="P336">
        <v>27.08</v>
      </c>
      <c r="Q336" t="str">
        <f t="shared" si="40"/>
        <v>2019-05</v>
      </c>
      <c r="R336">
        <f t="shared" si="41"/>
        <v>921.29256793670709</v>
      </c>
      <c r="S336">
        <f t="shared" si="42"/>
        <v>4.9031004147775787</v>
      </c>
      <c r="T336" t="str">
        <f t="shared" si="43"/>
        <v>Uttar Pradesh</v>
      </c>
      <c r="U336" t="str">
        <f t="shared" si="44"/>
        <v>Lucknow</v>
      </c>
      <c r="V336" t="str">
        <f t="shared" si="45"/>
        <v>Sugarcane</v>
      </c>
      <c r="W336" t="str">
        <f t="shared" si="46"/>
        <v>Dap</v>
      </c>
      <c r="X336" t="str">
        <f t="shared" si="47"/>
        <v>Cash</v>
      </c>
    </row>
    <row r="337" spans="1:24" x14ac:dyDescent="0.25">
      <c r="A337" t="s">
        <v>402</v>
      </c>
      <c r="B337" s="1">
        <v>41416</v>
      </c>
      <c r="C337">
        <v>2013</v>
      </c>
      <c r="D337" t="s">
        <v>31</v>
      </c>
      <c r="E337" t="s">
        <v>32</v>
      </c>
      <c r="F337" t="s">
        <v>19</v>
      </c>
      <c r="G337" t="s">
        <v>39</v>
      </c>
      <c r="H337">
        <v>85.86</v>
      </c>
      <c r="I337">
        <v>154.83000000000001</v>
      </c>
      <c r="J337">
        <v>1803.29</v>
      </c>
      <c r="K337" t="s">
        <v>21</v>
      </c>
      <c r="L337" t="s">
        <v>47</v>
      </c>
      <c r="M337">
        <v>149.19999999999999</v>
      </c>
      <c r="N337">
        <v>702.17</v>
      </c>
      <c r="O337" t="s">
        <v>42</v>
      </c>
      <c r="P337">
        <v>32.72</v>
      </c>
      <c r="Q337" t="str">
        <f t="shared" si="40"/>
        <v>2013-05</v>
      </c>
      <c r="R337">
        <f t="shared" si="41"/>
        <v>729.76669836709095</v>
      </c>
      <c r="S337">
        <f t="shared" si="42"/>
        <v>4.8911977102351942</v>
      </c>
      <c r="T337" t="str">
        <f t="shared" si="43"/>
        <v>Maharashtra</v>
      </c>
      <c r="U337" t="str">
        <f t="shared" si="44"/>
        <v>Pune</v>
      </c>
      <c r="V337" t="str">
        <f t="shared" si="45"/>
        <v>Cotton</v>
      </c>
      <c r="W337" t="str">
        <f t="shared" si="46"/>
        <v>Vermicompost</v>
      </c>
      <c r="X337" t="str">
        <f t="shared" si="47"/>
        <v>Cash</v>
      </c>
    </row>
    <row r="338" spans="1:24" x14ac:dyDescent="0.25">
      <c r="A338" t="s">
        <v>403</v>
      </c>
      <c r="B338" s="1">
        <v>44700</v>
      </c>
      <c r="C338">
        <v>2022</v>
      </c>
      <c r="D338" t="s">
        <v>17</v>
      </c>
      <c r="E338" t="s">
        <v>18</v>
      </c>
      <c r="F338" t="s">
        <v>19</v>
      </c>
      <c r="G338" t="s">
        <v>56</v>
      </c>
      <c r="H338">
        <v>45.18</v>
      </c>
      <c r="I338">
        <v>93.74</v>
      </c>
      <c r="J338">
        <v>2074.87</v>
      </c>
      <c r="K338" t="s">
        <v>40</v>
      </c>
      <c r="L338" t="s">
        <v>29</v>
      </c>
      <c r="M338">
        <v>233.98</v>
      </c>
      <c r="N338">
        <v>683.5</v>
      </c>
      <c r="O338" t="s">
        <v>70</v>
      </c>
      <c r="P338">
        <v>20.61</v>
      </c>
      <c r="Q338" t="str">
        <f t="shared" si="40"/>
        <v>2022-05</v>
      </c>
      <c r="R338">
        <f t="shared" si="41"/>
        <v>839.67139475121905</v>
      </c>
      <c r="S338">
        <f t="shared" si="42"/>
        <v>3.5886460156903115</v>
      </c>
      <c r="T338" t="str">
        <f t="shared" si="43"/>
        <v>Uttar Pradesh</v>
      </c>
      <c r="U338" t="str">
        <f t="shared" si="44"/>
        <v>Lucknow</v>
      </c>
      <c r="V338" t="str">
        <f t="shared" si="45"/>
        <v>Rice</v>
      </c>
      <c r="W338" t="str">
        <f t="shared" si="46"/>
        <v>Compost</v>
      </c>
      <c r="X338" t="str">
        <f t="shared" si="47"/>
        <v>Food</v>
      </c>
    </row>
    <row r="339" spans="1:24" x14ac:dyDescent="0.25">
      <c r="A339" t="s">
        <v>404</v>
      </c>
      <c r="B339" s="1">
        <v>42026</v>
      </c>
      <c r="C339">
        <v>2014</v>
      </c>
      <c r="D339" t="s">
        <v>103</v>
      </c>
      <c r="E339" t="s">
        <v>104</v>
      </c>
      <c r="F339" t="s">
        <v>38</v>
      </c>
      <c r="G339" t="s">
        <v>56</v>
      </c>
      <c r="H339">
        <v>5.24</v>
      </c>
      <c r="I339">
        <v>11.74</v>
      </c>
      <c r="J339">
        <v>2240.64</v>
      </c>
      <c r="K339" t="s">
        <v>34</v>
      </c>
      <c r="L339" t="s">
        <v>22</v>
      </c>
      <c r="M339">
        <v>147.02000000000001</v>
      </c>
      <c r="N339">
        <v>1117.9000000000001</v>
      </c>
      <c r="O339" t="s">
        <v>23</v>
      </c>
      <c r="P339">
        <v>20.6</v>
      </c>
      <c r="Q339" t="str">
        <f t="shared" si="40"/>
        <v>2015-01</v>
      </c>
      <c r="R339">
        <f t="shared" si="41"/>
        <v>906.75623722708963</v>
      </c>
      <c r="S339">
        <f t="shared" si="42"/>
        <v>6.1675706517962832</v>
      </c>
      <c r="T339" t="str">
        <f t="shared" si="43"/>
        <v>Haryana</v>
      </c>
      <c r="U339" t="str">
        <f t="shared" si="44"/>
        <v>Gurgaon</v>
      </c>
      <c r="V339" t="str">
        <f t="shared" si="45"/>
        <v>Rice</v>
      </c>
      <c r="W339" t="str">
        <f t="shared" si="46"/>
        <v>Urea</v>
      </c>
      <c r="X339" t="str">
        <f t="shared" si="47"/>
        <v>Food</v>
      </c>
    </row>
    <row r="340" spans="1:24" x14ac:dyDescent="0.25">
      <c r="A340" t="s">
        <v>405</v>
      </c>
      <c r="B340" s="1">
        <v>44155</v>
      </c>
      <c r="C340">
        <v>2020</v>
      </c>
      <c r="D340" t="s">
        <v>17</v>
      </c>
      <c r="E340" t="s">
        <v>54</v>
      </c>
      <c r="F340" t="s">
        <v>38</v>
      </c>
      <c r="G340" t="s">
        <v>39</v>
      </c>
      <c r="H340">
        <v>27.07</v>
      </c>
      <c r="I340">
        <v>115.48</v>
      </c>
      <c r="J340">
        <v>4266.1000000000004</v>
      </c>
      <c r="K340" t="s">
        <v>40</v>
      </c>
      <c r="L340" t="s">
        <v>47</v>
      </c>
      <c r="M340">
        <v>144.16</v>
      </c>
      <c r="N340">
        <v>578.52</v>
      </c>
      <c r="O340" t="s">
        <v>61</v>
      </c>
      <c r="P340">
        <v>29.8</v>
      </c>
      <c r="Q340" t="str">
        <f t="shared" si="40"/>
        <v>2020-11</v>
      </c>
      <c r="R340">
        <f t="shared" si="41"/>
        <v>1726.4320835272456</v>
      </c>
      <c r="S340">
        <f t="shared" si="42"/>
        <v>11.975805240893768</v>
      </c>
      <c r="T340" t="str">
        <f t="shared" si="43"/>
        <v>Uttar Pradesh</v>
      </c>
      <c r="U340" t="str">
        <f t="shared" si="44"/>
        <v>Varanasi</v>
      </c>
      <c r="V340" t="str">
        <f t="shared" si="45"/>
        <v>Cotton</v>
      </c>
      <c r="W340" t="str">
        <f t="shared" si="46"/>
        <v>Vermicompost</v>
      </c>
      <c r="X340" t="str">
        <f t="shared" si="47"/>
        <v>Cash</v>
      </c>
    </row>
    <row r="341" spans="1:24" x14ac:dyDescent="0.25">
      <c r="A341" t="s">
        <v>406</v>
      </c>
      <c r="B341" s="1">
        <v>41373</v>
      </c>
      <c r="C341">
        <v>2013</v>
      </c>
      <c r="D341" t="s">
        <v>31</v>
      </c>
      <c r="E341" t="s">
        <v>32</v>
      </c>
      <c r="F341" t="s">
        <v>19</v>
      </c>
      <c r="G341" t="s">
        <v>46</v>
      </c>
      <c r="H341">
        <v>35.94</v>
      </c>
      <c r="I341">
        <v>223.06</v>
      </c>
      <c r="J341">
        <v>6206.32</v>
      </c>
      <c r="K341" t="s">
        <v>28</v>
      </c>
      <c r="L341" t="s">
        <v>29</v>
      </c>
      <c r="M341">
        <v>248.16</v>
      </c>
      <c r="N341">
        <v>1087.17</v>
      </c>
      <c r="O341" t="s">
        <v>23</v>
      </c>
      <c r="P341">
        <v>27.53</v>
      </c>
      <c r="Q341" t="str">
        <f t="shared" si="40"/>
        <v>2013-04</v>
      </c>
      <c r="R341">
        <f t="shared" si="41"/>
        <v>2511.6124724307479</v>
      </c>
      <c r="S341">
        <f t="shared" si="42"/>
        <v>10.12094000818322</v>
      </c>
      <c r="T341" t="str">
        <f t="shared" si="43"/>
        <v>Maharashtra</v>
      </c>
      <c r="U341" t="str">
        <f t="shared" si="44"/>
        <v>Pune</v>
      </c>
      <c r="V341" t="str">
        <f t="shared" si="45"/>
        <v>Sugarcane</v>
      </c>
      <c r="W341" t="str">
        <f t="shared" si="46"/>
        <v>Compost</v>
      </c>
      <c r="X341" t="str">
        <f t="shared" si="47"/>
        <v>Cash</v>
      </c>
    </row>
    <row r="342" spans="1:24" x14ac:dyDescent="0.25">
      <c r="A342" t="s">
        <v>407</v>
      </c>
      <c r="B342" s="1">
        <v>40660</v>
      </c>
      <c r="C342">
        <v>2011</v>
      </c>
      <c r="D342" t="s">
        <v>103</v>
      </c>
      <c r="E342" t="s">
        <v>104</v>
      </c>
      <c r="F342" t="s">
        <v>19</v>
      </c>
      <c r="G342" t="s">
        <v>39</v>
      </c>
      <c r="H342">
        <v>28.8</v>
      </c>
      <c r="I342">
        <v>54.76</v>
      </c>
      <c r="J342">
        <v>1901.44</v>
      </c>
      <c r="K342" t="s">
        <v>40</v>
      </c>
      <c r="L342" t="s">
        <v>49</v>
      </c>
      <c r="M342">
        <v>140.56</v>
      </c>
      <c r="N342">
        <v>917.3</v>
      </c>
      <c r="O342" t="s">
        <v>23</v>
      </c>
      <c r="P342">
        <v>29.92</v>
      </c>
      <c r="Q342" t="str">
        <f t="shared" si="40"/>
        <v>2011-04</v>
      </c>
      <c r="R342">
        <f t="shared" si="41"/>
        <v>769.48665547034659</v>
      </c>
      <c r="S342">
        <f t="shared" si="42"/>
        <v>5.4744355113143612</v>
      </c>
      <c r="T342" t="str">
        <f t="shared" si="43"/>
        <v>Haryana</v>
      </c>
      <c r="U342" t="str">
        <f t="shared" si="44"/>
        <v>Gurgaon</v>
      </c>
      <c r="V342" t="str">
        <f t="shared" si="45"/>
        <v>Cotton</v>
      </c>
      <c r="W342" t="str">
        <f t="shared" si="46"/>
        <v>Npk</v>
      </c>
      <c r="X342" t="str">
        <f t="shared" si="47"/>
        <v>Cash</v>
      </c>
    </row>
    <row r="343" spans="1:24" x14ac:dyDescent="0.25">
      <c r="A343" t="s">
        <v>408</v>
      </c>
      <c r="B343" s="1">
        <v>42834</v>
      </c>
      <c r="C343">
        <v>2017</v>
      </c>
      <c r="D343" t="s">
        <v>17</v>
      </c>
      <c r="E343" t="s">
        <v>18</v>
      </c>
      <c r="F343" t="s">
        <v>19</v>
      </c>
      <c r="G343" t="s">
        <v>46</v>
      </c>
      <c r="H343">
        <v>48.42</v>
      </c>
      <c r="I343">
        <v>220.06</v>
      </c>
      <c r="J343">
        <v>4544.75</v>
      </c>
      <c r="K343" t="s">
        <v>28</v>
      </c>
      <c r="L343" t="s">
        <v>47</v>
      </c>
      <c r="M343">
        <v>55.61</v>
      </c>
      <c r="N343">
        <v>243.14</v>
      </c>
      <c r="O343" t="s">
        <v>61</v>
      </c>
      <c r="P343">
        <v>28.89</v>
      </c>
      <c r="Q343" t="str">
        <f t="shared" si="40"/>
        <v>2017-04</v>
      </c>
      <c r="R343">
        <f t="shared" si="41"/>
        <v>1839.1979118188624</v>
      </c>
      <c r="S343">
        <f t="shared" si="42"/>
        <v>33.073150725028995</v>
      </c>
      <c r="T343" t="str">
        <f t="shared" si="43"/>
        <v>Uttar Pradesh</v>
      </c>
      <c r="U343" t="str">
        <f t="shared" si="44"/>
        <v>Lucknow</v>
      </c>
      <c r="V343" t="str">
        <f t="shared" si="45"/>
        <v>Sugarcane</v>
      </c>
      <c r="W343" t="str">
        <f t="shared" si="46"/>
        <v>Vermicompost</v>
      </c>
      <c r="X343" t="str">
        <f t="shared" si="47"/>
        <v>Cash</v>
      </c>
    </row>
    <row r="344" spans="1:24" x14ac:dyDescent="0.25">
      <c r="A344" t="s">
        <v>409</v>
      </c>
      <c r="B344" s="1">
        <v>41133</v>
      </c>
      <c r="C344">
        <v>2012</v>
      </c>
      <c r="D344" t="s">
        <v>25</v>
      </c>
      <c r="E344" t="s">
        <v>69</v>
      </c>
      <c r="F344" t="s">
        <v>33</v>
      </c>
      <c r="G344" t="s">
        <v>56</v>
      </c>
      <c r="H344">
        <v>26.57</v>
      </c>
      <c r="I344">
        <v>55.27</v>
      </c>
      <c r="J344">
        <v>2080.23</v>
      </c>
      <c r="K344" t="s">
        <v>28</v>
      </c>
      <c r="L344" t="s">
        <v>22</v>
      </c>
      <c r="M344">
        <v>199.84</v>
      </c>
      <c r="N344">
        <v>763.6</v>
      </c>
      <c r="O344" t="s">
        <v>23</v>
      </c>
      <c r="P344">
        <v>33.18</v>
      </c>
      <c r="Q344" t="str">
        <f t="shared" si="40"/>
        <v>2012-08</v>
      </c>
      <c r="R344">
        <f t="shared" si="41"/>
        <v>841.84051314218652</v>
      </c>
      <c r="S344">
        <f t="shared" si="42"/>
        <v>4.2125726238099803</v>
      </c>
      <c r="T344" t="str">
        <f t="shared" si="43"/>
        <v>Punjab</v>
      </c>
      <c r="U344" t="str">
        <f t="shared" si="44"/>
        <v>Patiala</v>
      </c>
      <c r="V344" t="str">
        <f t="shared" si="45"/>
        <v>Rice</v>
      </c>
      <c r="W344" t="str">
        <f t="shared" si="46"/>
        <v>Urea</v>
      </c>
      <c r="X344" t="str">
        <f t="shared" si="47"/>
        <v>Food</v>
      </c>
    </row>
    <row r="345" spans="1:24" x14ac:dyDescent="0.25">
      <c r="A345" t="s">
        <v>410</v>
      </c>
      <c r="B345" s="1">
        <v>43900</v>
      </c>
      <c r="C345">
        <v>2019</v>
      </c>
      <c r="D345" t="s">
        <v>103</v>
      </c>
      <c r="E345" t="s">
        <v>107</v>
      </c>
      <c r="F345" t="s">
        <v>38</v>
      </c>
      <c r="G345" t="s">
        <v>46</v>
      </c>
      <c r="H345">
        <v>17.89</v>
      </c>
      <c r="I345">
        <v>107.02</v>
      </c>
      <c r="J345">
        <v>5982.18</v>
      </c>
      <c r="K345" t="s">
        <v>40</v>
      </c>
      <c r="L345" t="s">
        <v>49</v>
      </c>
      <c r="M345">
        <v>248.65</v>
      </c>
      <c r="N345">
        <v>1020.45</v>
      </c>
      <c r="O345" t="s">
        <v>42</v>
      </c>
      <c r="P345">
        <v>29.35</v>
      </c>
      <c r="Q345" t="str">
        <f t="shared" si="40"/>
        <v>2020-03</v>
      </c>
      <c r="R345">
        <f t="shared" si="41"/>
        <v>2420.9060925517492</v>
      </c>
      <c r="S345">
        <f t="shared" si="42"/>
        <v>9.7361998493937225</v>
      </c>
      <c r="T345" t="str">
        <f t="shared" si="43"/>
        <v>Haryana</v>
      </c>
      <c r="U345" t="str">
        <f t="shared" si="44"/>
        <v>Faridabad</v>
      </c>
      <c r="V345" t="str">
        <f t="shared" si="45"/>
        <v>Sugarcane</v>
      </c>
      <c r="W345" t="str">
        <f t="shared" si="46"/>
        <v>Npk</v>
      </c>
      <c r="X345" t="str">
        <f t="shared" si="47"/>
        <v>Cash</v>
      </c>
    </row>
    <row r="346" spans="1:24" x14ac:dyDescent="0.25">
      <c r="A346" t="s">
        <v>411</v>
      </c>
      <c r="B346" s="1">
        <v>44265</v>
      </c>
      <c r="C346">
        <v>2020</v>
      </c>
      <c r="D346" t="s">
        <v>103</v>
      </c>
      <c r="E346" t="s">
        <v>228</v>
      </c>
      <c r="F346" t="s">
        <v>38</v>
      </c>
      <c r="G346" t="s">
        <v>46</v>
      </c>
      <c r="H346">
        <v>60.06</v>
      </c>
      <c r="I346">
        <v>84.87</v>
      </c>
      <c r="J346">
        <v>1413.06</v>
      </c>
      <c r="K346" t="s">
        <v>28</v>
      </c>
      <c r="L346" t="s">
        <v>29</v>
      </c>
      <c r="M346">
        <v>146.37</v>
      </c>
      <c r="N346">
        <v>308.57</v>
      </c>
      <c r="O346" t="s">
        <v>42</v>
      </c>
      <c r="P346">
        <v>27.84</v>
      </c>
      <c r="Q346" t="str">
        <f t="shared" si="40"/>
        <v>2021-03</v>
      </c>
      <c r="R346">
        <f t="shared" si="41"/>
        <v>571.84597640679067</v>
      </c>
      <c r="S346">
        <f t="shared" si="42"/>
        <v>3.9068523359075673</v>
      </c>
      <c r="T346" t="str">
        <f t="shared" si="43"/>
        <v>Haryana</v>
      </c>
      <c r="U346" t="str">
        <f t="shared" si="44"/>
        <v>Hisar</v>
      </c>
      <c r="V346" t="str">
        <f t="shared" si="45"/>
        <v>Sugarcane</v>
      </c>
      <c r="W346" t="str">
        <f t="shared" si="46"/>
        <v>Compost</v>
      </c>
      <c r="X346" t="str">
        <f t="shared" si="47"/>
        <v>Cash</v>
      </c>
    </row>
    <row r="347" spans="1:24" x14ac:dyDescent="0.25">
      <c r="A347" t="s">
        <v>412</v>
      </c>
      <c r="B347" s="1">
        <v>43650</v>
      </c>
      <c r="C347">
        <v>2019</v>
      </c>
      <c r="D347" t="s">
        <v>44</v>
      </c>
      <c r="E347" t="s">
        <v>45</v>
      </c>
      <c r="F347" t="s">
        <v>33</v>
      </c>
      <c r="G347" t="s">
        <v>56</v>
      </c>
      <c r="H347">
        <v>48.11</v>
      </c>
      <c r="I347">
        <v>225.56</v>
      </c>
      <c r="J347">
        <v>4688.49</v>
      </c>
      <c r="K347" t="s">
        <v>21</v>
      </c>
      <c r="L347" t="s">
        <v>47</v>
      </c>
      <c r="M347">
        <v>269.44</v>
      </c>
      <c r="N347">
        <v>731.43</v>
      </c>
      <c r="O347" t="s">
        <v>23</v>
      </c>
      <c r="P347">
        <v>21.4</v>
      </c>
      <c r="Q347" t="str">
        <f t="shared" si="40"/>
        <v>2019-07</v>
      </c>
      <c r="R347">
        <f t="shared" si="41"/>
        <v>1897.3675158333501</v>
      </c>
      <c r="S347">
        <f t="shared" si="42"/>
        <v>7.0418925023506169</v>
      </c>
      <c r="T347" t="str">
        <f t="shared" si="43"/>
        <v>West Bengal</v>
      </c>
      <c r="U347" t="str">
        <f t="shared" si="44"/>
        <v>Kolkata</v>
      </c>
      <c r="V347" t="str">
        <f t="shared" si="45"/>
        <v>Rice</v>
      </c>
      <c r="W347" t="str">
        <f t="shared" si="46"/>
        <v>Vermicompost</v>
      </c>
      <c r="X347" t="str">
        <f t="shared" si="47"/>
        <v>Food</v>
      </c>
    </row>
    <row r="348" spans="1:24" x14ac:dyDescent="0.25">
      <c r="A348" t="s">
        <v>413</v>
      </c>
      <c r="B348" s="1">
        <v>44676</v>
      </c>
      <c r="C348">
        <v>2022</v>
      </c>
      <c r="D348" t="s">
        <v>59</v>
      </c>
      <c r="E348" t="s">
        <v>60</v>
      </c>
      <c r="F348" t="s">
        <v>19</v>
      </c>
      <c r="G348" t="s">
        <v>39</v>
      </c>
      <c r="H348">
        <v>43.72</v>
      </c>
      <c r="I348">
        <v>154.07</v>
      </c>
      <c r="J348">
        <v>3524.1</v>
      </c>
      <c r="K348" t="s">
        <v>21</v>
      </c>
      <c r="L348" t="s">
        <v>49</v>
      </c>
      <c r="M348">
        <v>224.41</v>
      </c>
      <c r="N348">
        <v>628.96</v>
      </c>
      <c r="O348" t="s">
        <v>52</v>
      </c>
      <c r="P348">
        <v>31.84</v>
      </c>
      <c r="Q348" t="str">
        <f t="shared" si="40"/>
        <v>2022-04</v>
      </c>
      <c r="R348">
        <f t="shared" si="41"/>
        <v>1426.1548734343701</v>
      </c>
      <c r="S348">
        <f t="shared" si="42"/>
        <v>6.3551306690181812</v>
      </c>
      <c r="T348" t="str">
        <f t="shared" si="43"/>
        <v>Bihar</v>
      </c>
      <c r="U348" t="str">
        <f t="shared" si="44"/>
        <v>Patna</v>
      </c>
      <c r="V348" t="str">
        <f t="shared" si="45"/>
        <v>Cotton</v>
      </c>
      <c r="W348" t="str">
        <f t="shared" si="46"/>
        <v>Npk</v>
      </c>
      <c r="X348" t="str">
        <f t="shared" si="47"/>
        <v>Cash</v>
      </c>
    </row>
    <row r="349" spans="1:24" x14ac:dyDescent="0.25">
      <c r="A349" t="s">
        <v>414</v>
      </c>
      <c r="B349" s="1">
        <v>44708</v>
      </c>
      <c r="C349">
        <v>2022</v>
      </c>
      <c r="D349" t="s">
        <v>59</v>
      </c>
      <c r="E349" t="s">
        <v>93</v>
      </c>
      <c r="F349" t="s">
        <v>19</v>
      </c>
      <c r="G349" t="s">
        <v>27</v>
      </c>
      <c r="H349">
        <v>10.67</v>
      </c>
      <c r="I349">
        <v>19.239999999999998</v>
      </c>
      <c r="J349">
        <v>1803.3</v>
      </c>
      <c r="K349" t="s">
        <v>28</v>
      </c>
      <c r="L349" t="s">
        <v>47</v>
      </c>
      <c r="M349">
        <v>241.46</v>
      </c>
      <c r="N349">
        <v>1110.0899999999999</v>
      </c>
      <c r="O349" t="s">
        <v>23</v>
      </c>
      <c r="P349">
        <v>24.25</v>
      </c>
      <c r="Q349" t="str">
        <f t="shared" si="40"/>
        <v>2022-05</v>
      </c>
      <c r="R349">
        <f t="shared" si="41"/>
        <v>729.77074522976056</v>
      </c>
      <c r="S349">
        <f t="shared" si="42"/>
        <v>3.0223256242431895</v>
      </c>
      <c r="T349" t="str">
        <f t="shared" si="43"/>
        <v>Bihar</v>
      </c>
      <c r="U349" t="str">
        <f t="shared" si="44"/>
        <v>Bhagalpur</v>
      </c>
      <c r="V349" t="str">
        <f t="shared" si="45"/>
        <v>Pulses</v>
      </c>
      <c r="W349" t="str">
        <f t="shared" si="46"/>
        <v>Vermicompost</v>
      </c>
      <c r="X349" t="str">
        <f t="shared" si="47"/>
        <v>Food</v>
      </c>
    </row>
    <row r="350" spans="1:24" x14ac:dyDescent="0.25">
      <c r="A350" t="s">
        <v>415</v>
      </c>
      <c r="B350" s="1">
        <v>41506</v>
      </c>
      <c r="C350">
        <v>2013</v>
      </c>
      <c r="D350" t="s">
        <v>36</v>
      </c>
      <c r="E350" t="s">
        <v>51</v>
      </c>
      <c r="F350" t="s">
        <v>33</v>
      </c>
      <c r="G350" t="s">
        <v>39</v>
      </c>
      <c r="H350">
        <v>74.62</v>
      </c>
      <c r="I350">
        <v>77.8</v>
      </c>
      <c r="J350">
        <v>1042.68</v>
      </c>
      <c r="K350" t="s">
        <v>21</v>
      </c>
      <c r="L350" t="s">
        <v>29</v>
      </c>
      <c r="M350">
        <v>179.94</v>
      </c>
      <c r="N350">
        <v>575.03</v>
      </c>
      <c r="O350" t="s">
        <v>42</v>
      </c>
      <c r="P350">
        <v>30.32</v>
      </c>
      <c r="Q350" t="str">
        <f t="shared" si="40"/>
        <v>2013-08</v>
      </c>
      <c r="R350">
        <f t="shared" si="41"/>
        <v>421.95827684587528</v>
      </c>
      <c r="S350">
        <f t="shared" si="42"/>
        <v>2.3449943139150564</v>
      </c>
      <c r="T350" t="str">
        <f t="shared" si="43"/>
        <v>Karnataka</v>
      </c>
      <c r="U350" t="str">
        <f t="shared" si="44"/>
        <v>Mysore</v>
      </c>
      <c r="V350" t="str">
        <f t="shared" si="45"/>
        <v>Cotton</v>
      </c>
      <c r="W350" t="str">
        <f t="shared" si="46"/>
        <v>Compost</v>
      </c>
      <c r="X350" t="str">
        <f t="shared" si="47"/>
        <v>Cash</v>
      </c>
    </row>
    <row r="351" spans="1:24" x14ac:dyDescent="0.25">
      <c r="A351" t="s">
        <v>416</v>
      </c>
      <c r="B351" s="1">
        <v>41319</v>
      </c>
      <c r="C351">
        <v>2012</v>
      </c>
      <c r="D351" t="s">
        <v>31</v>
      </c>
      <c r="E351" t="s">
        <v>82</v>
      </c>
      <c r="F351" t="s">
        <v>38</v>
      </c>
      <c r="G351" t="s">
        <v>39</v>
      </c>
      <c r="H351">
        <v>58.95</v>
      </c>
      <c r="I351">
        <v>151.37</v>
      </c>
      <c r="J351">
        <v>2567.8200000000002</v>
      </c>
      <c r="K351" t="s">
        <v>28</v>
      </c>
      <c r="L351" t="s">
        <v>47</v>
      </c>
      <c r="M351">
        <v>191.17</v>
      </c>
      <c r="N351">
        <v>811.88</v>
      </c>
      <c r="O351" t="s">
        <v>52</v>
      </c>
      <c r="P351">
        <v>31.32</v>
      </c>
      <c r="Q351" t="str">
        <f t="shared" si="40"/>
        <v>2013-02</v>
      </c>
      <c r="R351">
        <f t="shared" si="41"/>
        <v>1039.161490054835</v>
      </c>
      <c r="S351">
        <f t="shared" si="42"/>
        <v>5.4357979288321134</v>
      </c>
      <c r="T351" t="str">
        <f t="shared" si="43"/>
        <v>Maharashtra</v>
      </c>
      <c r="U351" t="str">
        <f t="shared" si="44"/>
        <v>Nagpur</v>
      </c>
      <c r="V351" t="str">
        <f t="shared" si="45"/>
        <v>Cotton</v>
      </c>
      <c r="W351" t="str">
        <f t="shared" si="46"/>
        <v>Vermicompost</v>
      </c>
      <c r="X351" t="str">
        <f t="shared" si="47"/>
        <v>Cash</v>
      </c>
    </row>
    <row r="352" spans="1:24" x14ac:dyDescent="0.25">
      <c r="A352" t="s">
        <v>417</v>
      </c>
      <c r="B352" s="1">
        <v>42917</v>
      </c>
      <c r="C352">
        <v>2017</v>
      </c>
      <c r="D352" t="s">
        <v>44</v>
      </c>
      <c r="E352" t="s">
        <v>67</v>
      </c>
      <c r="F352" t="s">
        <v>33</v>
      </c>
      <c r="G352" t="s">
        <v>20</v>
      </c>
      <c r="H352">
        <v>56.35</v>
      </c>
      <c r="I352">
        <v>219.91</v>
      </c>
      <c r="J352">
        <v>3902.56</v>
      </c>
      <c r="K352" t="s">
        <v>34</v>
      </c>
      <c r="L352" t="s">
        <v>41</v>
      </c>
      <c r="M352">
        <v>194.41</v>
      </c>
      <c r="N352">
        <v>974.19</v>
      </c>
      <c r="O352" t="s">
        <v>52</v>
      </c>
      <c r="P352">
        <v>31.04</v>
      </c>
      <c r="Q352" t="str">
        <f t="shared" si="40"/>
        <v>2017-07</v>
      </c>
      <c r="R352">
        <f t="shared" si="41"/>
        <v>1579.3124380324155</v>
      </c>
      <c r="S352">
        <f t="shared" si="42"/>
        <v>8.1236172935158457</v>
      </c>
      <c r="T352" t="str">
        <f t="shared" si="43"/>
        <v>West Bengal</v>
      </c>
      <c r="U352" t="str">
        <f t="shared" si="44"/>
        <v>Darjeeling</v>
      </c>
      <c r="V352" t="str">
        <f t="shared" si="45"/>
        <v>Maize</v>
      </c>
      <c r="W352" t="str">
        <f t="shared" si="46"/>
        <v>Dap</v>
      </c>
      <c r="X352" t="str">
        <f t="shared" si="47"/>
        <v>Food</v>
      </c>
    </row>
    <row r="353" spans="1:24" x14ac:dyDescent="0.25">
      <c r="A353" t="s">
        <v>418</v>
      </c>
      <c r="B353" s="1">
        <v>41098</v>
      </c>
      <c r="C353">
        <v>2012</v>
      </c>
      <c r="D353" t="s">
        <v>36</v>
      </c>
      <c r="E353" t="s">
        <v>77</v>
      </c>
      <c r="F353" t="s">
        <v>33</v>
      </c>
      <c r="G353" t="s">
        <v>56</v>
      </c>
      <c r="H353">
        <v>51.33</v>
      </c>
      <c r="I353">
        <v>293.43</v>
      </c>
      <c r="J353">
        <v>5716.49</v>
      </c>
      <c r="K353" t="s">
        <v>21</v>
      </c>
      <c r="L353" t="s">
        <v>29</v>
      </c>
      <c r="M353">
        <v>90.18</v>
      </c>
      <c r="N353">
        <v>1164.57</v>
      </c>
      <c r="O353" t="s">
        <v>23</v>
      </c>
      <c r="P353">
        <v>32.07</v>
      </c>
      <c r="Q353" t="str">
        <f t="shared" si="40"/>
        <v>2012-07</v>
      </c>
      <c r="R353">
        <f t="shared" si="41"/>
        <v>2313.3849982800834</v>
      </c>
      <c r="S353">
        <f t="shared" si="42"/>
        <v>25.652971815037517</v>
      </c>
      <c r="T353" t="str">
        <f t="shared" si="43"/>
        <v>Karnataka</v>
      </c>
      <c r="U353" t="str">
        <f t="shared" si="44"/>
        <v>Hubli</v>
      </c>
      <c r="V353" t="str">
        <f t="shared" si="45"/>
        <v>Rice</v>
      </c>
      <c r="W353" t="str">
        <f t="shared" si="46"/>
        <v>Compost</v>
      </c>
      <c r="X353" t="str">
        <f t="shared" si="47"/>
        <v>Food</v>
      </c>
    </row>
    <row r="354" spans="1:24" x14ac:dyDescent="0.25">
      <c r="A354" t="s">
        <v>419</v>
      </c>
      <c r="B354" s="1">
        <v>40828</v>
      </c>
      <c r="C354">
        <v>2011</v>
      </c>
      <c r="D354" t="s">
        <v>59</v>
      </c>
      <c r="E354" t="s">
        <v>63</v>
      </c>
      <c r="F354" t="s">
        <v>33</v>
      </c>
      <c r="G354" t="s">
        <v>20</v>
      </c>
      <c r="H354">
        <v>22.96</v>
      </c>
      <c r="I354">
        <v>33.99</v>
      </c>
      <c r="J354">
        <v>1480.24</v>
      </c>
      <c r="K354" t="s">
        <v>21</v>
      </c>
      <c r="L354" t="s">
        <v>49</v>
      </c>
      <c r="M354">
        <v>231.12</v>
      </c>
      <c r="N354">
        <v>1130.68</v>
      </c>
      <c r="O354" t="s">
        <v>52</v>
      </c>
      <c r="P354">
        <v>29.21</v>
      </c>
      <c r="Q354" t="str">
        <f t="shared" si="40"/>
        <v>2011-10</v>
      </c>
      <c r="R354">
        <f t="shared" si="41"/>
        <v>599.03279982193806</v>
      </c>
      <c r="S354">
        <f t="shared" si="42"/>
        <v>2.5918691581080737</v>
      </c>
      <c r="T354" t="str">
        <f t="shared" si="43"/>
        <v>Bihar</v>
      </c>
      <c r="U354" t="str">
        <f t="shared" si="44"/>
        <v>Gaya</v>
      </c>
      <c r="V354" t="str">
        <f t="shared" si="45"/>
        <v>Maize</v>
      </c>
      <c r="W354" t="str">
        <f t="shared" si="46"/>
        <v>Npk</v>
      </c>
      <c r="X354" t="str">
        <f t="shared" si="47"/>
        <v>Food</v>
      </c>
    </row>
    <row r="355" spans="1:24" x14ac:dyDescent="0.25">
      <c r="A355" t="s">
        <v>420</v>
      </c>
      <c r="B355" s="1">
        <v>40389</v>
      </c>
      <c r="C355">
        <v>2010</v>
      </c>
      <c r="D355" t="s">
        <v>17</v>
      </c>
      <c r="E355" t="s">
        <v>54</v>
      </c>
      <c r="F355" t="s">
        <v>33</v>
      </c>
      <c r="G355" t="s">
        <v>39</v>
      </c>
      <c r="H355">
        <v>49.94</v>
      </c>
      <c r="I355">
        <v>53.15</v>
      </c>
      <c r="J355">
        <v>1064.26</v>
      </c>
      <c r="K355" t="s">
        <v>34</v>
      </c>
      <c r="L355" t="s">
        <v>47</v>
      </c>
      <c r="M355">
        <v>98.69</v>
      </c>
      <c r="N355">
        <v>983.96</v>
      </c>
      <c r="O355" t="s">
        <v>61</v>
      </c>
      <c r="P355">
        <v>27.74</v>
      </c>
      <c r="Q355" t="str">
        <f t="shared" si="40"/>
        <v>2010-07</v>
      </c>
      <c r="R355">
        <f t="shared" si="41"/>
        <v>430.69140648712084</v>
      </c>
      <c r="S355">
        <f t="shared" si="42"/>
        <v>4.3640835595006671</v>
      </c>
      <c r="T355" t="str">
        <f t="shared" si="43"/>
        <v>Uttar Pradesh</v>
      </c>
      <c r="U355" t="str">
        <f t="shared" si="44"/>
        <v>Varanasi</v>
      </c>
      <c r="V355" t="str">
        <f t="shared" si="45"/>
        <v>Cotton</v>
      </c>
      <c r="W355" t="str">
        <f t="shared" si="46"/>
        <v>Vermicompost</v>
      </c>
      <c r="X355" t="str">
        <f t="shared" si="47"/>
        <v>Cash</v>
      </c>
    </row>
    <row r="356" spans="1:24" x14ac:dyDescent="0.25">
      <c r="A356" t="s">
        <v>421</v>
      </c>
      <c r="B356" s="1">
        <v>40586</v>
      </c>
      <c r="C356">
        <v>2010</v>
      </c>
      <c r="D356" t="s">
        <v>103</v>
      </c>
      <c r="E356" t="s">
        <v>228</v>
      </c>
      <c r="F356" t="s">
        <v>38</v>
      </c>
      <c r="G356" t="s">
        <v>56</v>
      </c>
      <c r="H356">
        <v>65.849999999999994</v>
      </c>
      <c r="I356">
        <v>451.33</v>
      </c>
      <c r="J356">
        <v>6853.88</v>
      </c>
      <c r="K356" t="s">
        <v>21</v>
      </c>
      <c r="L356" t="s">
        <v>47</v>
      </c>
      <c r="M356">
        <v>299.2</v>
      </c>
      <c r="N356">
        <v>979.67</v>
      </c>
      <c r="O356" t="s">
        <v>70</v>
      </c>
      <c r="P356">
        <v>30.04</v>
      </c>
      <c r="Q356" t="str">
        <f t="shared" si="40"/>
        <v>2011-02</v>
      </c>
      <c r="R356">
        <f t="shared" si="41"/>
        <v>2773.6711114708323</v>
      </c>
      <c r="S356">
        <f t="shared" si="42"/>
        <v>9.2702911479640129</v>
      </c>
      <c r="T356" t="str">
        <f t="shared" si="43"/>
        <v>Haryana</v>
      </c>
      <c r="U356" t="str">
        <f t="shared" si="44"/>
        <v>Hisar</v>
      </c>
      <c r="V356" t="str">
        <f t="shared" si="45"/>
        <v>Rice</v>
      </c>
      <c r="W356" t="str">
        <f t="shared" si="46"/>
        <v>Vermicompost</v>
      </c>
      <c r="X356" t="str">
        <f t="shared" si="47"/>
        <v>Food</v>
      </c>
    </row>
    <row r="357" spans="1:24" x14ac:dyDescent="0.25">
      <c r="A357" t="s">
        <v>422</v>
      </c>
      <c r="B357" s="1">
        <v>40321</v>
      </c>
      <c r="C357">
        <v>2010</v>
      </c>
      <c r="D357" t="s">
        <v>103</v>
      </c>
      <c r="E357" t="s">
        <v>228</v>
      </c>
      <c r="F357" t="s">
        <v>19</v>
      </c>
      <c r="G357" t="s">
        <v>39</v>
      </c>
      <c r="H357">
        <v>7.79</v>
      </c>
      <c r="I357">
        <v>12</v>
      </c>
      <c r="J357">
        <v>1541</v>
      </c>
      <c r="K357" t="s">
        <v>34</v>
      </c>
      <c r="L357" t="s">
        <v>49</v>
      </c>
      <c r="M357">
        <v>231.53</v>
      </c>
      <c r="N357">
        <v>759.11</v>
      </c>
      <c r="O357" t="s">
        <v>61</v>
      </c>
      <c r="P357">
        <v>25.22</v>
      </c>
      <c r="Q357" t="str">
        <f t="shared" si="40"/>
        <v>2010-05</v>
      </c>
      <c r="R357">
        <f t="shared" si="41"/>
        <v>623.62153740312829</v>
      </c>
      <c r="S357">
        <f t="shared" si="42"/>
        <v>2.6934804880712147</v>
      </c>
      <c r="T357" t="str">
        <f t="shared" si="43"/>
        <v>Haryana</v>
      </c>
      <c r="U357" t="str">
        <f t="shared" si="44"/>
        <v>Hisar</v>
      </c>
      <c r="V357" t="str">
        <f t="shared" si="45"/>
        <v>Cotton</v>
      </c>
      <c r="W357" t="str">
        <f t="shared" si="46"/>
        <v>Npk</v>
      </c>
      <c r="X357" t="str">
        <f t="shared" si="47"/>
        <v>Cash</v>
      </c>
    </row>
    <row r="358" spans="1:24" x14ac:dyDescent="0.25">
      <c r="A358" t="s">
        <v>423</v>
      </c>
      <c r="B358" s="1">
        <v>41608</v>
      </c>
      <c r="C358">
        <v>2013</v>
      </c>
      <c r="D358" t="s">
        <v>103</v>
      </c>
      <c r="E358" t="s">
        <v>228</v>
      </c>
      <c r="F358" t="s">
        <v>38</v>
      </c>
      <c r="G358" t="s">
        <v>46</v>
      </c>
      <c r="H358">
        <v>57.92</v>
      </c>
      <c r="I358">
        <v>148.66</v>
      </c>
      <c r="J358">
        <v>2566.65</v>
      </c>
      <c r="K358" t="s">
        <v>28</v>
      </c>
      <c r="L358" t="s">
        <v>47</v>
      </c>
      <c r="M358">
        <v>176.56</v>
      </c>
      <c r="N358">
        <v>758.63</v>
      </c>
      <c r="O358" t="s">
        <v>61</v>
      </c>
      <c r="P358">
        <v>24.41</v>
      </c>
      <c r="Q358" t="str">
        <f t="shared" si="40"/>
        <v>2013-11</v>
      </c>
      <c r="R358">
        <f t="shared" si="41"/>
        <v>1038.6880071224784</v>
      </c>
      <c r="S358">
        <f t="shared" si="42"/>
        <v>5.8829180285595744</v>
      </c>
      <c r="T358" t="str">
        <f t="shared" si="43"/>
        <v>Haryana</v>
      </c>
      <c r="U358" t="str">
        <f t="shared" si="44"/>
        <v>Hisar</v>
      </c>
      <c r="V358" t="str">
        <f t="shared" si="45"/>
        <v>Sugarcane</v>
      </c>
      <c r="W358" t="str">
        <f t="shared" si="46"/>
        <v>Vermicompost</v>
      </c>
      <c r="X358" t="str">
        <f t="shared" si="47"/>
        <v>Cash</v>
      </c>
    </row>
    <row r="359" spans="1:24" x14ac:dyDescent="0.25">
      <c r="A359" t="s">
        <v>424</v>
      </c>
      <c r="B359" s="1">
        <v>44709</v>
      </c>
      <c r="C359">
        <v>2022</v>
      </c>
      <c r="D359" t="s">
        <v>31</v>
      </c>
      <c r="E359" t="s">
        <v>117</v>
      </c>
      <c r="F359" t="s">
        <v>19</v>
      </c>
      <c r="G359" t="s">
        <v>20</v>
      </c>
      <c r="H359">
        <v>69.72</v>
      </c>
      <c r="I359">
        <v>473.84</v>
      </c>
      <c r="J359">
        <v>6796.33</v>
      </c>
      <c r="K359" t="s">
        <v>28</v>
      </c>
      <c r="L359" t="s">
        <v>47</v>
      </c>
      <c r="M359">
        <v>242.49</v>
      </c>
      <c r="N359">
        <v>957.47</v>
      </c>
      <c r="O359" t="s">
        <v>52</v>
      </c>
      <c r="P359">
        <v>30.22</v>
      </c>
      <c r="Q359" t="str">
        <f t="shared" si="40"/>
        <v>2022-05</v>
      </c>
      <c r="R359">
        <f t="shared" si="41"/>
        <v>2750.3814168066206</v>
      </c>
      <c r="S359">
        <f t="shared" si="42"/>
        <v>11.342246759893689</v>
      </c>
      <c r="T359" t="str">
        <f t="shared" si="43"/>
        <v>Maharashtra</v>
      </c>
      <c r="U359" t="str">
        <f t="shared" si="44"/>
        <v>Mumbai</v>
      </c>
      <c r="V359" t="str">
        <f t="shared" si="45"/>
        <v>Maize</v>
      </c>
      <c r="W359" t="str">
        <f t="shared" si="46"/>
        <v>Vermicompost</v>
      </c>
      <c r="X359" t="str">
        <f t="shared" si="47"/>
        <v>Food</v>
      </c>
    </row>
    <row r="360" spans="1:24" x14ac:dyDescent="0.25">
      <c r="A360" t="s">
        <v>425</v>
      </c>
      <c r="B360" s="1">
        <v>42977</v>
      </c>
      <c r="C360">
        <v>2017</v>
      </c>
      <c r="D360" t="s">
        <v>44</v>
      </c>
      <c r="E360" t="s">
        <v>45</v>
      </c>
      <c r="F360" t="s">
        <v>33</v>
      </c>
      <c r="G360" t="s">
        <v>20</v>
      </c>
      <c r="H360">
        <v>7.69</v>
      </c>
      <c r="I360">
        <v>36.93</v>
      </c>
      <c r="J360">
        <v>4801.97</v>
      </c>
      <c r="K360" t="s">
        <v>40</v>
      </c>
      <c r="L360" t="s">
        <v>47</v>
      </c>
      <c r="M360">
        <v>219.23</v>
      </c>
      <c r="N360">
        <v>429.93</v>
      </c>
      <c r="O360" t="s">
        <v>70</v>
      </c>
      <c r="P360">
        <v>26.19</v>
      </c>
      <c r="Q360" t="str">
        <f t="shared" si="40"/>
        <v>2017-08</v>
      </c>
      <c r="R360">
        <f t="shared" si="41"/>
        <v>1943.2913134092796</v>
      </c>
      <c r="S360">
        <f t="shared" si="42"/>
        <v>8.8641669178911631</v>
      </c>
      <c r="T360" t="str">
        <f t="shared" si="43"/>
        <v>West Bengal</v>
      </c>
      <c r="U360" t="str">
        <f t="shared" si="44"/>
        <v>Kolkata</v>
      </c>
      <c r="V360" t="str">
        <f t="shared" si="45"/>
        <v>Maize</v>
      </c>
      <c r="W360" t="str">
        <f t="shared" si="46"/>
        <v>Vermicompost</v>
      </c>
      <c r="X360" t="str">
        <f t="shared" si="47"/>
        <v>Food</v>
      </c>
    </row>
    <row r="361" spans="1:24" x14ac:dyDescent="0.25">
      <c r="A361" t="s">
        <v>426</v>
      </c>
      <c r="B361" s="1">
        <v>44556</v>
      </c>
      <c r="C361">
        <v>2021</v>
      </c>
      <c r="D361" t="s">
        <v>59</v>
      </c>
      <c r="E361" t="s">
        <v>60</v>
      </c>
      <c r="F361" t="s">
        <v>38</v>
      </c>
      <c r="G361" t="s">
        <v>56</v>
      </c>
      <c r="H361">
        <v>29.44</v>
      </c>
      <c r="I361">
        <v>99.91</v>
      </c>
      <c r="J361">
        <v>3393.58</v>
      </c>
      <c r="K361" t="s">
        <v>34</v>
      </c>
      <c r="L361" t="s">
        <v>47</v>
      </c>
      <c r="M361">
        <v>69.010000000000005</v>
      </c>
      <c r="N361">
        <v>1131.4000000000001</v>
      </c>
      <c r="O361" t="s">
        <v>52</v>
      </c>
      <c r="P361">
        <v>24.71</v>
      </c>
      <c r="Q361" t="str">
        <f t="shared" si="40"/>
        <v>2021-12</v>
      </c>
      <c r="R361">
        <f t="shared" si="41"/>
        <v>1373.3352218692457</v>
      </c>
      <c r="S361">
        <f t="shared" si="42"/>
        <v>19.900524878557391</v>
      </c>
      <c r="T361" t="str">
        <f t="shared" si="43"/>
        <v>Bihar</v>
      </c>
      <c r="U361" t="str">
        <f t="shared" si="44"/>
        <v>Patna</v>
      </c>
      <c r="V361" t="str">
        <f t="shared" si="45"/>
        <v>Rice</v>
      </c>
      <c r="W361" t="str">
        <f t="shared" si="46"/>
        <v>Vermicompost</v>
      </c>
      <c r="X361" t="str">
        <f t="shared" si="47"/>
        <v>Food</v>
      </c>
    </row>
    <row r="362" spans="1:24" x14ac:dyDescent="0.25">
      <c r="A362" t="s">
        <v>427</v>
      </c>
      <c r="B362" s="1">
        <v>44340</v>
      </c>
      <c r="C362">
        <v>2021</v>
      </c>
      <c r="D362" t="s">
        <v>31</v>
      </c>
      <c r="E362" t="s">
        <v>82</v>
      </c>
      <c r="F362" t="s">
        <v>19</v>
      </c>
      <c r="G362" t="s">
        <v>56</v>
      </c>
      <c r="H362">
        <v>50.4</v>
      </c>
      <c r="I362">
        <v>110.78</v>
      </c>
      <c r="J362">
        <v>2198</v>
      </c>
      <c r="K362" t="s">
        <v>40</v>
      </c>
      <c r="L362" t="s">
        <v>47</v>
      </c>
      <c r="M362">
        <v>268.19</v>
      </c>
      <c r="N362">
        <v>406.78</v>
      </c>
      <c r="O362" t="s">
        <v>42</v>
      </c>
      <c r="P362">
        <v>32.520000000000003</v>
      </c>
      <c r="Q362" t="str">
        <f t="shared" si="40"/>
        <v>2021-05</v>
      </c>
      <c r="R362">
        <f t="shared" si="41"/>
        <v>889.50041480342361</v>
      </c>
      <c r="S362">
        <f t="shared" si="42"/>
        <v>3.3166800208934846</v>
      </c>
      <c r="T362" t="str">
        <f t="shared" si="43"/>
        <v>Maharashtra</v>
      </c>
      <c r="U362" t="str">
        <f t="shared" si="44"/>
        <v>Nagpur</v>
      </c>
      <c r="V362" t="str">
        <f t="shared" si="45"/>
        <v>Rice</v>
      </c>
      <c r="W362" t="str">
        <f t="shared" si="46"/>
        <v>Vermicompost</v>
      </c>
      <c r="X362" t="str">
        <f t="shared" si="47"/>
        <v>Food</v>
      </c>
    </row>
    <row r="363" spans="1:24" x14ac:dyDescent="0.25">
      <c r="A363" t="s">
        <v>428</v>
      </c>
      <c r="B363" s="1">
        <v>44836</v>
      </c>
      <c r="C363">
        <v>2022</v>
      </c>
      <c r="D363" t="s">
        <v>31</v>
      </c>
      <c r="E363" t="s">
        <v>82</v>
      </c>
      <c r="F363" t="s">
        <v>33</v>
      </c>
      <c r="G363" t="s">
        <v>64</v>
      </c>
      <c r="H363">
        <v>92.1</v>
      </c>
      <c r="I363">
        <v>465.55</v>
      </c>
      <c r="J363">
        <v>5054.87</v>
      </c>
      <c r="K363" t="s">
        <v>28</v>
      </c>
      <c r="L363" t="s">
        <v>49</v>
      </c>
      <c r="M363">
        <v>203.46</v>
      </c>
      <c r="N363">
        <v>964.24</v>
      </c>
      <c r="O363" t="s">
        <v>61</v>
      </c>
      <c r="P363">
        <v>34.369999999999997</v>
      </c>
      <c r="Q363" t="str">
        <f t="shared" si="40"/>
        <v>2022-10</v>
      </c>
      <c r="R363">
        <f t="shared" si="41"/>
        <v>2045.6364703263794</v>
      </c>
      <c r="S363">
        <f t="shared" si="42"/>
        <v>10.054243931614957</v>
      </c>
      <c r="T363" t="str">
        <f t="shared" si="43"/>
        <v>Maharashtra</v>
      </c>
      <c r="U363" t="str">
        <f t="shared" si="44"/>
        <v>Nagpur</v>
      </c>
      <c r="V363" t="str">
        <f t="shared" si="45"/>
        <v>Wheat</v>
      </c>
      <c r="W363" t="str">
        <f t="shared" si="46"/>
        <v>Npk</v>
      </c>
      <c r="X363" t="str">
        <f t="shared" si="47"/>
        <v>Food</v>
      </c>
    </row>
    <row r="364" spans="1:24" x14ac:dyDescent="0.25">
      <c r="A364" t="s">
        <v>429</v>
      </c>
      <c r="B364" s="1">
        <v>42877</v>
      </c>
      <c r="C364">
        <v>2017</v>
      </c>
      <c r="D364" t="s">
        <v>59</v>
      </c>
      <c r="E364" t="s">
        <v>63</v>
      </c>
      <c r="F364" t="s">
        <v>19</v>
      </c>
      <c r="G364" t="s">
        <v>20</v>
      </c>
      <c r="H364">
        <v>49.59</v>
      </c>
      <c r="I364">
        <v>342.49</v>
      </c>
      <c r="J364">
        <v>6906.37</v>
      </c>
      <c r="K364" t="s">
        <v>34</v>
      </c>
      <c r="L364" t="s">
        <v>29</v>
      </c>
      <c r="M364">
        <v>149.47</v>
      </c>
      <c r="N364">
        <v>950.17</v>
      </c>
      <c r="O364" t="s">
        <v>42</v>
      </c>
      <c r="P364">
        <v>20.81</v>
      </c>
      <c r="Q364" t="str">
        <f t="shared" si="40"/>
        <v>2017-05</v>
      </c>
      <c r="R364">
        <f t="shared" si="41"/>
        <v>2794.9130936241677</v>
      </c>
      <c r="S364">
        <f t="shared" si="42"/>
        <v>18.69882313256284</v>
      </c>
      <c r="T364" t="str">
        <f t="shared" si="43"/>
        <v>Bihar</v>
      </c>
      <c r="U364" t="str">
        <f t="shared" si="44"/>
        <v>Gaya</v>
      </c>
      <c r="V364" t="str">
        <f t="shared" si="45"/>
        <v>Maize</v>
      </c>
      <c r="W364" t="str">
        <f t="shared" si="46"/>
        <v>Compost</v>
      </c>
      <c r="X364" t="str">
        <f t="shared" si="47"/>
        <v>Food</v>
      </c>
    </row>
    <row r="365" spans="1:24" x14ac:dyDescent="0.25">
      <c r="A365" t="s">
        <v>430</v>
      </c>
      <c r="B365" s="1">
        <v>40313</v>
      </c>
      <c r="C365">
        <v>2010</v>
      </c>
      <c r="D365" t="s">
        <v>36</v>
      </c>
      <c r="E365" t="s">
        <v>77</v>
      </c>
      <c r="F365" t="s">
        <v>19</v>
      </c>
      <c r="G365" t="s">
        <v>20</v>
      </c>
      <c r="H365">
        <v>39.979999999999997</v>
      </c>
      <c r="I365">
        <v>204.62</v>
      </c>
      <c r="J365">
        <v>5118.03</v>
      </c>
      <c r="K365" t="s">
        <v>40</v>
      </c>
      <c r="L365" t="s">
        <v>22</v>
      </c>
      <c r="M365">
        <v>164.3</v>
      </c>
      <c r="N365">
        <v>320.37</v>
      </c>
      <c r="O365" t="s">
        <v>61</v>
      </c>
      <c r="P365">
        <v>26.9</v>
      </c>
      <c r="Q365" t="str">
        <f t="shared" si="40"/>
        <v>2010-05</v>
      </c>
      <c r="R365">
        <f t="shared" si="41"/>
        <v>2071.1964549483014</v>
      </c>
      <c r="S365">
        <f t="shared" si="42"/>
        <v>12.606186579113215</v>
      </c>
      <c r="T365" t="str">
        <f t="shared" si="43"/>
        <v>Karnataka</v>
      </c>
      <c r="U365" t="str">
        <f t="shared" si="44"/>
        <v>Hubli</v>
      </c>
      <c r="V365" t="str">
        <f t="shared" si="45"/>
        <v>Maize</v>
      </c>
      <c r="W365" t="str">
        <f t="shared" si="46"/>
        <v>Urea</v>
      </c>
      <c r="X365" t="str">
        <f t="shared" si="47"/>
        <v>Food</v>
      </c>
    </row>
    <row r="366" spans="1:24" x14ac:dyDescent="0.25">
      <c r="A366" t="s">
        <v>431</v>
      </c>
      <c r="B366" s="1">
        <v>41666</v>
      </c>
      <c r="C366">
        <v>2013</v>
      </c>
      <c r="D366" t="s">
        <v>25</v>
      </c>
      <c r="E366" t="s">
        <v>69</v>
      </c>
      <c r="F366" t="s">
        <v>38</v>
      </c>
      <c r="G366" t="s">
        <v>27</v>
      </c>
      <c r="H366">
        <v>10.97</v>
      </c>
      <c r="I366">
        <v>34.770000000000003</v>
      </c>
      <c r="J366">
        <v>3169.61</v>
      </c>
      <c r="K366" t="s">
        <v>34</v>
      </c>
      <c r="L366" t="s">
        <v>49</v>
      </c>
      <c r="M366">
        <v>96.79</v>
      </c>
      <c r="N366">
        <v>462.85</v>
      </c>
      <c r="O366" t="s">
        <v>70</v>
      </c>
      <c r="P366">
        <v>27.07</v>
      </c>
      <c r="Q366" t="str">
        <f t="shared" si="40"/>
        <v>2014-01</v>
      </c>
      <c r="R366">
        <f t="shared" si="41"/>
        <v>1282.6976386556323</v>
      </c>
      <c r="S366">
        <f t="shared" si="42"/>
        <v>13.252377711082056</v>
      </c>
      <c r="T366" t="str">
        <f t="shared" si="43"/>
        <v>Punjab</v>
      </c>
      <c r="U366" t="str">
        <f t="shared" si="44"/>
        <v>Patiala</v>
      </c>
      <c r="V366" t="str">
        <f t="shared" si="45"/>
        <v>Pulses</v>
      </c>
      <c r="W366" t="str">
        <f t="shared" si="46"/>
        <v>Npk</v>
      </c>
      <c r="X366" t="str">
        <f t="shared" si="47"/>
        <v>Food</v>
      </c>
    </row>
    <row r="367" spans="1:24" x14ac:dyDescent="0.25">
      <c r="A367" t="s">
        <v>432</v>
      </c>
      <c r="B367" s="1">
        <v>42580</v>
      </c>
      <c r="C367">
        <v>2016</v>
      </c>
      <c r="D367" t="s">
        <v>103</v>
      </c>
      <c r="E367" t="s">
        <v>107</v>
      </c>
      <c r="F367" t="s">
        <v>33</v>
      </c>
      <c r="G367" t="s">
        <v>46</v>
      </c>
      <c r="H367">
        <v>70.37</v>
      </c>
      <c r="I367">
        <v>227.57</v>
      </c>
      <c r="J367">
        <v>3233.86</v>
      </c>
      <c r="K367" t="s">
        <v>28</v>
      </c>
      <c r="L367" t="s">
        <v>22</v>
      </c>
      <c r="M367">
        <v>119.91</v>
      </c>
      <c r="N367">
        <v>379.89</v>
      </c>
      <c r="O367" t="s">
        <v>42</v>
      </c>
      <c r="P367">
        <v>34.69</v>
      </c>
      <c r="Q367" t="str">
        <f t="shared" si="40"/>
        <v>2016-07</v>
      </c>
      <c r="R367">
        <f t="shared" si="41"/>
        <v>1308.6987313085531</v>
      </c>
      <c r="S367">
        <f t="shared" si="42"/>
        <v>10.914008267104938</v>
      </c>
      <c r="T367" t="str">
        <f t="shared" si="43"/>
        <v>Haryana</v>
      </c>
      <c r="U367" t="str">
        <f t="shared" si="44"/>
        <v>Faridabad</v>
      </c>
      <c r="V367" t="str">
        <f t="shared" si="45"/>
        <v>Sugarcane</v>
      </c>
      <c r="W367" t="str">
        <f t="shared" si="46"/>
        <v>Urea</v>
      </c>
      <c r="X367" t="str">
        <f t="shared" si="47"/>
        <v>Cash</v>
      </c>
    </row>
    <row r="368" spans="1:24" x14ac:dyDescent="0.25">
      <c r="A368" t="s">
        <v>433</v>
      </c>
      <c r="B368" s="1">
        <v>44758</v>
      </c>
      <c r="C368">
        <v>2022</v>
      </c>
      <c r="D368" t="s">
        <v>17</v>
      </c>
      <c r="E368" t="s">
        <v>72</v>
      </c>
      <c r="F368" t="s">
        <v>33</v>
      </c>
      <c r="G368" t="s">
        <v>27</v>
      </c>
      <c r="H368">
        <v>43.79</v>
      </c>
      <c r="I368">
        <v>143.86000000000001</v>
      </c>
      <c r="J368">
        <v>3285.3</v>
      </c>
      <c r="K368" t="s">
        <v>40</v>
      </c>
      <c r="L368" t="s">
        <v>29</v>
      </c>
      <c r="M368">
        <v>250.01</v>
      </c>
      <c r="N368">
        <v>938.54</v>
      </c>
      <c r="O368" t="s">
        <v>52</v>
      </c>
      <c r="P368">
        <v>32.090000000000003</v>
      </c>
      <c r="Q368" t="str">
        <f t="shared" si="40"/>
        <v>2022-07</v>
      </c>
      <c r="R368">
        <f t="shared" si="41"/>
        <v>1329.5157928815686</v>
      </c>
      <c r="S368">
        <f t="shared" si="42"/>
        <v>5.3178504575079746</v>
      </c>
      <c r="T368" t="str">
        <f t="shared" si="43"/>
        <v>Uttar Pradesh</v>
      </c>
      <c r="U368" t="str">
        <f t="shared" si="44"/>
        <v>Kanpur</v>
      </c>
      <c r="V368" t="str">
        <f t="shared" si="45"/>
        <v>Pulses</v>
      </c>
      <c r="W368" t="str">
        <f t="shared" si="46"/>
        <v>Compost</v>
      </c>
      <c r="X368" t="str">
        <f t="shared" si="47"/>
        <v>Food</v>
      </c>
    </row>
    <row r="369" spans="1:24" x14ac:dyDescent="0.25">
      <c r="A369" t="s">
        <v>434</v>
      </c>
      <c r="B369" s="1">
        <v>43966</v>
      </c>
      <c r="C369">
        <v>2020</v>
      </c>
      <c r="D369" t="s">
        <v>36</v>
      </c>
      <c r="E369" t="s">
        <v>37</v>
      </c>
      <c r="F369" t="s">
        <v>19</v>
      </c>
      <c r="G369" t="s">
        <v>27</v>
      </c>
      <c r="H369">
        <v>72.34</v>
      </c>
      <c r="I369">
        <v>413.21</v>
      </c>
      <c r="J369">
        <v>5712</v>
      </c>
      <c r="K369" t="s">
        <v>34</v>
      </c>
      <c r="L369" t="s">
        <v>41</v>
      </c>
      <c r="M369">
        <v>112.74</v>
      </c>
      <c r="N369">
        <v>1058.5</v>
      </c>
      <c r="O369" t="s">
        <v>23</v>
      </c>
      <c r="P369">
        <v>25.98</v>
      </c>
      <c r="Q369" t="str">
        <f t="shared" si="40"/>
        <v>2020-05</v>
      </c>
      <c r="R369">
        <f t="shared" si="41"/>
        <v>2311.567956941381</v>
      </c>
      <c r="S369">
        <f t="shared" si="42"/>
        <v>20.503529864656564</v>
      </c>
      <c r="T369" t="str">
        <f t="shared" si="43"/>
        <v>Karnataka</v>
      </c>
      <c r="U369" t="str">
        <f t="shared" si="44"/>
        <v>Bangalore</v>
      </c>
      <c r="V369" t="str">
        <f t="shared" si="45"/>
        <v>Pulses</v>
      </c>
      <c r="W369" t="str">
        <f t="shared" si="46"/>
        <v>Dap</v>
      </c>
      <c r="X369" t="str">
        <f t="shared" si="47"/>
        <v>Food</v>
      </c>
    </row>
    <row r="370" spans="1:24" x14ac:dyDescent="0.25">
      <c r="A370" t="s">
        <v>435</v>
      </c>
      <c r="B370" s="1">
        <v>42049</v>
      </c>
      <c r="C370">
        <v>2014</v>
      </c>
      <c r="D370" t="s">
        <v>25</v>
      </c>
      <c r="E370" t="s">
        <v>26</v>
      </c>
      <c r="F370" t="s">
        <v>38</v>
      </c>
      <c r="G370" t="s">
        <v>39</v>
      </c>
      <c r="H370">
        <v>10.53</v>
      </c>
      <c r="I370">
        <v>57.57</v>
      </c>
      <c r="J370">
        <v>5467.56</v>
      </c>
      <c r="K370" t="s">
        <v>34</v>
      </c>
      <c r="L370" t="s">
        <v>22</v>
      </c>
      <c r="M370">
        <v>140.24</v>
      </c>
      <c r="N370">
        <v>760.35</v>
      </c>
      <c r="O370" t="s">
        <v>70</v>
      </c>
      <c r="P370">
        <v>25.16</v>
      </c>
      <c r="Q370" t="str">
        <f t="shared" si="40"/>
        <v>2015-02</v>
      </c>
      <c r="R370">
        <f t="shared" si="41"/>
        <v>2212.6464458428604</v>
      </c>
      <c r="S370">
        <f t="shared" si="42"/>
        <v>15.777570207093984</v>
      </c>
      <c r="T370" t="str">
        <f t="shared" si="43"/>
        <v>Punjab</v>
      </c>
      <c r="U370" t="str">
        <f t="shared" si="44"/>
        <v>Ludhiana</v>
      </c>
      <c r="V370" t="str">
        <f t="shared" si="45"/>
        <v>Cotton</v>
      </c>
      <c r="W370" t="str">
        <f t="shared" si="46"/>
        <v>Urea</v>
      </c>
      <c r="X370" t="str">
        <f t="shared" si="47"/>
        <v>Cash</v>
      </c>
    </row>
    <row r="371" spans="1:24" x14ac:dyDescent="0.25">
      <c r="A371" t="s">
        <v>436</v>
      </c>
      <c r="B371" s="1">
        <v>43741</v>
      </c>
      <c r="C371">
        <v>2019</v>
      </c>
      <c r="D371" t="s">
        <v>31</v>
      </c>
      <c r="E371" t="s">
        <v>117</v>
      </c>
      <c r="F371" t="s">
        <v>33</v>
      </c>
      <c r="G371" t="s">
        <v>27</v>
      </c>
      <c r="H371">
        <v>58.01</v>
      </c>
      <c r="I371">
        <v>283.95</v>
      </c>
      <c r="J371">
        <v>4894.79</v>
      </c>
      <c r="K371" t="s">
        <v>40</v>
      </c>
      <c r="L371" t="s">
        <v>29</v>
      </c>
      <c r="M371">
        <v>294.83999999999997</v>
      </c>
      <c r="N371">
        <v>484.61</v>
      </c>
      <c r="O371" t="s">
        <v>70</v>
      </c>
      <c r="P371">
        <v>30.1</v>
      </c>
      <c r="Q371" t="str">
        <f t="shared" si="40"/>
        <v>2019-10</v>
      </c>
      <c r="R371">
        <f t="shared" si="41"/>
        <v>1980.8542927095768</v>
      </c>
      <c r="S371">
        <f t="shared" si="42"/>
        <v>6.7184041945108435</v>
      </c>
      <c r="T371" t="str">
        <f t="shared" si="43"/>
        <v>Maharashtra</v>
      </c>
      <c r="U371" t="str">
        <f t="shared" si="44"/>
        <v>Mumbai</v>
      </c>
      <c r="V371" t="str">
        <f t="shared" si="45"/>
        <v>Pulses</v>
      </c>
      <c r="W371" t="str">
        <f t="shared" si="46"/>
        <v>Compost</v>
      </c>
      <c r="X371" t="str">
        <f t="shared" si="47"/>
        <v>Food</v>
      </c>
    </row>
    <row r="372" spans="1:24" x14ac:dyDescent="0.25">
      <c r="A372" t="s">
        <v>437</v>
      </c>
      <c r="B372" s="1">
        <v>43916</v>
      </c>
      <c r="C372">
        <v>2019</v>
      </c>
      <c r="D372" t="s">
        <v>25</v>
      </c>
      <c r="E372" t="s">
        <v>87</v>
      </c>
      <c r="F372" t="s">
        <v>38</v>
      </c>
      <c r="G372" t="s">
        <v>46</v>
      </c>
      <c r="H372">
        <v>63.54</v>
      </c>
      <c r="I372">
        <v>118.76</v>
      </c>
      <c r="J372">
        <v>1869.09</v>
      </c>
      <c r="K372" t="s">
        <v>40</v>
      </c>
      <c r="L372" t="s">
        <v>29</v>
      </c>
      <c r="M372">
        <v>210.15</v>
      </c>
      <c r="N372">
        <v>1128.57</v>
      </c>
      <c r="O372" t="s">
        <v>52</v>
      </c>
      <c r="P372">
        <v>29.47</v>
      </c>
      <c r="Q372" t="str">
        <f t="shared" si="40"/>
        <v>2020-03</v>
      </c>
      <c r="R372">
        <f t="shared" si="41"/>
        <v>756.39505473381757</v>
      </c>
      <c r="S372">
        <f t="shared" si="42"/>
        <v>3.5993102771059604</v>
      </c>
      <c r="T372" t="str">
        <f t="shared" si="43"/>
        <v>Punjab</v>
      </c>
      <c r="U372" t="str">
        <f t="shared" si="44"/>
        <v>Amritsar</v>
      </c>
      <c r="V372" t="str">
        <f t="shared" si="45"/>
        <v>Sugarcane</v>
      </c>
      <c r="W372" t="str">
        <f t="shared" si="46"/>
        <v>Compost</v>
      </c>
      <c r="X372" t="str">
        <f t="shared" si="47"/>
        <v>Cash</v>
      </c>
    </row>
    <row r="373" spans="1:24" x14ac:dyDescent="0.25">
      <c r="A373" t="s">
        <v>438</v>
      </c>
      <c r="B373" s="1">
        <v>40808</v>
      </c>
      <c r="C373">
        <v>2011</v>
      </c>
      <c r="D373" t="s">
        <v>44</v>
      </c>
      <c r="E373" t="s">
        <v>45</v>
      </c>
      <c r="F373" t="s">
        <v>33</v>
      </c>
      <c r="G373" t="s">
        <v>20</v>
      </c>
      <c r="H373">
        <v>23.59</v>
      </c>
      <c r="I373">
        <v>68.44</v>
      </c>
      <c r="J373">
        <v>2901.27</v>
      </c>
      <c r="K373" t="s">
        <v>34</v>
      </c>
      <c r="L373" t="s">
        <v>49</v>
      </c>
      <c r="M373">
        <v>227.61</v>
      </c>
      <c r="N373">
        <v>805.38</v>
      </c>
      <c r="O373" t="s">
        <v>52</v>
      </c>
      <c r="P373">
        <v>24.07</v>
      </c>
      <c r="Q373" t="str">
        <f t="shared" si="40"/>
        <v>2011-09</v>
      </c>
      <c r="R373">
        <f t="shared" si="41"/>
        <v>1174.1041257764919</v>
      </c>
      <c r="S373">
        <f t="shared" si="42"/>
        <v>5.1584030832410344</v>
      </c>
      <c r="T373" t="str">
        <f t="shared" si="43"/>
        <v>West Bengal</v>
      </c>
      <c r="U373" t="str">
        <f t="shared" si="44"/>
        <v>Kolkata</v>
      </c>
      <c r="V373" t="str">
        <f t="shared" si="45"/>
        <v>Maize</v>
      </c>
      <c r="W373" t="str">
        <f t="shared" si="46"/>
        <v>Npk</v>
      </c>
      <c r="X373" t="str">
        <f t="shared" si="47"/>
        <v>Food</v>
      </c>
    </row>
    <row r="374" spans="1:24" x14ac:dyDescent="0.25">
      <c r="A374" t="s">
        <v>439</v>
      </c>
      <c r="B374" s="1">
        <v>43506</v>
      </c>
      <c r="C374">
        <v>2018</v>
      </c>
      <c r="D374" t="s">
        <v>17</v>
      </c>
      <c r="E374" t="s">
        <v>54</v>
      </c>
      <c r="F374" t="s">
        <v>38</v>
      </c>
      <c r="G374" t="s">
        <v>46</v>
      </c>
      <c r="H374">
        <v>17.559999999999999</v>
      </c>
      <c r="I374">
        <v>107.56</v>
      </c>
      <c r="J374">
        <v>6125.27</v>
      </c>
      <c r="K374" t="s">
        <v>40</v>
      </c>
      <c r="L374" t="s">
        <v>22</v>
      </c>
      <c r="M374">
        <v>231.94</v>
      </c>
      <c r="N374">
        <v>862.02</v>
      </c>
      <c r="O374" t="s">
        <v>23</v>
      </c>
      <c r="P374">
        <v>23.16</v>
      </c>
      <c r="Q374" t="str">
        <f t="shared" si="40"/>
        <v>2019-02</v>
      </c>
      <c r="R374">
        <f t="shared" si="41"/>
        <v>2478.8126504927059</v>
      </c>
      <c r="S374">
        <f t="shared" si="42"/>
        <v>10.687301243824722</v>
      </c>
      <c r="T374" t="str">
        <f t="shared" si="43"/>
        <v>Uttar Pradesh</v>
      </c>
      <c r="U374" t="str">
        <f t="shared" si="44"/>
        <v>Varanasi</v>
      </c>
      <c r="V374" t="str">
        <f t="shared" si="45"/>
        <v>Sugarcane</v>
      </c>
      <c r="W374" t="str">
        <f t="shared" si="46"/>
        <v>Urea</v>
      </c>
      <c r="X374" t="str">
        <f t="shared" si="47"/>
        <v>Cash</v>
      </c>
    </row>
    <row r="375" spans="1:24" x14ac:dyDescent="0.25">
      <c r="A375" t="s">
        <v>440</v>
      </c>
      <c r="B375" s="1">
        <v>42882</v>
      </c>
      <c r="C375">
        <v>2017</v>
      </c>
      <c r="D375" t="s">
        <v>25</v>
      </c>
      <c r="E375" t="s">
        <v>26</v>
      </c>
      <c r="F375" t="s">
        <v>19</v>
      </c>
      <c r="G375" t="s">
        <v>64</v>
      </c>
      <c r="H375">
        <v>3.61</v>
      </c>
      <c r="I375">
        <v>12.21</v>
      </c>
      <c r="J375">
        <v>3382.08</v>
      </c>
      <c r="K375" t="s">
        <v>21</v>
      </c>
      <c r="L375" t="s">
        <v>29</v>
      </c>
      <c r="M375">
        <v>75.98</v>
      </c>
      <c r="N375">
        <v>818.1</v>
      </c>
      <c r="O375" t="s">
        <v>23</v>
      </c>
      <c r="P375">
        <v>29.82</v>
      </c>
      <c r="Q375" t="str">
        <f t="shared" si="40"/>
        <v>2017-05</v>
      </c>
      <c r="R375">
        <f t="shared" si="41"/>
        <v>1368.6813297990732</v>
      </c>
      <c r="S375">
        <f t="shared" si="42"/>
        <v>18.013705314544264</v>
      </c>
      <c r="T375" t="str">
        <f t="shared" si="43"/>
        <v>Punjab</v>
      </c>
      <c r="U375" t="str">
        <f t="shared" si="44"/>
        <v>Ludhiana</v>
      </c>
      <c r="V375" t="str">
        <f t="shared" si="45"/>
        <v>Wheat</v>
      </c>
      <c r="W375" t="str">
        <f t="shared" si="46"/>
        <v>Compost</v>
      </c>
      <c r="X375" t="str">
        <f t="shared" si="47"/>
        <v>Food</v>
      </c>
    </row>
    <row r="376" spans="1:24" x14ac:dyDescent="0.25">
      <c r="A376" t="s">
        <v>441</v>
      </c>
      <c r="B376" s="1">
        <v>41394</v>
      </c>
      <c r="C376">
        <v>2013</v>
      </c>
      <c r="D376" t="s">
        <v>31</v>
      </c>
      <c r="E376" t="s">
        <v>82</v>
      </c>
      <c r="F376" t="s">
        <v>19</v>
      </c>
      <c r="G376" t="s">
        <v>20</v>
      </c>
      <c r="H376">
        <v>44.87</v>
      </c>
      <c r="I376">
        <v>78.900000000000006</v>
      </c>
      <c r="J376">
        <v>1758.47</v>
      </c>
      <c r="K376" t="s">
        <v>40</v>
      </c>
      <c r="L376" t="s">
        <v>47</v>
      </c>
      <c r="M376">
        <v>57.14</v>
      </c>
      <c r="N376">
        <v>863.55</v>
      </c>
      <c r="O376" t="s">
        <v>70</v>
      </c>
      <c r="P376">
        <v>32.96</v>
      </c>
      <c r="Q376" t="str">
        <f t="shared" si="40"/>
        <v>2013-04</v>
      </c>
      <c r="R376">
        <f t="shared" si="41"/>
        <v>711.62865988142698</v>
      </c>
      <c r="S376">
        <f t="shared" si="42"/>
        <v>12.454124254137678</v>
      </c>
      <c r="T376" t="str">
        <f t="shared" si="43"/>
        <v>Maharashtra</v>
      </c>
      <c r="U376" t="str">
        <f t="shared" si="44"/>
        <v>Nagpur</v>
      </c>
      <c r="V376" t="str">
        <f t="shared" si="45"/>
        <v>Maize</v>
      </c>
      <c r="W376" t="str">
        <f t="shared" si="46"/>
        <v>Vermicompost</v>
      </c>
      <c r="X376" t="str">
        <f t="shared" si="47"/>
        <v>Food</v>
      </c>
    </row>
    <row r="377" spans="1:24" x14ac:dyDescent="0.25">
      <c r="A377" t="s">
        <v>442</v>
      </c>
      <c r="B377" s="1">
        <v>43023</v>
      </c>
      <c r="C377">
        <v>2017</v>
      </c>
      <c r="D377" t="s">
        <v>31</v>
      </c>
      <c r="E377" t="s">
        <v>117</v>
      </c>
      <c r="F377" t="s">
        <v>33</v>
      </c>
      <c r="G377" t="s">
        <v>39</v>
      </c>
      <c r="H377">
        <v>54.39</v>
      </c>
      <c r="I377">
        <v>247.2</v>
      </c>
      <c r="J377">
        <v>4544.99</v>
      </c>
      <c r="K377" t="s">
        <v>28</v>
      </c>
      <c r="L377" t="s">
        <v>49</v>
      </c>
      <c r="M377">
        <v>207.76</v>
      </c>
      <c r="N377">
        <v>835.85</v>
      </c>
      <c r="O377" t="s">
        <v>61</v>
      </c>
      <c r="P377">
        <v>26.52</v>
      </c>
      <c r="Q377" t="str">
        <f t="shared" si="40"/>
        <v>2017-10</v>
      </c>
      <c r="R377">
        <f t="shared" si="41"/>
        <v>1839.2950365229356</v>
      </c>
      <c r="S377">
        <f t="shared" si="42"/>
        <v>8.8529795751007683</v>
      </c>
      <c r="T377" t="str">
        <f t="shared" si="43"/>
        <v>Maharashtra</v>
      </c>
      <c r="U377" t="str">
        <f t="shared" si="44"/>
        <v>Mumbai</v>
      </c>
      <c r="V377" t="str">
        <f t="shared" si="45"/>
        <v>Cotton</v>
      </c>
      <c r="W377" t="str">
        <f t="shared" si="46"/>
        <v>Npk</v>
      </c>
      <c r="X377" t="str">
        <f t="shared" si="47"/>
        <v>Cash</v>
      </c>
    </row>
    <row r="378" spans="1:24" x14ac:dyDescent="0.25">
      <c r="A378" t="s">
        <v>443</v>
      </c>
      <c r="B378" s="1">
        <v>43286</v>
      </c>
      <c r="C378">
        <v>2018</v>
      </c>
      <c r="D378" t="s">
        <v>31</v>
      </c>
      <c r="E378" t="s">
        <v>32</v>
      </c>
      <c r="F378" t="s">
        <v>33</v>
      </c>
      <c r="G378" t="s">
        <v>64</v>
      </c>
      <c r="H378">
        <v>44.74</v>
      </c>
      <c r="I378">
        <v>142.93</v>
      </c>
      <c r="J378">
        <v>3194.7</v>
      </c>
      <c r="K378" t="s">
        <v>34</v>
      </c>
      <c r="L378" t="s">
        <v>49</v>
      </c>
      <c r="M378">
        <v>88.93</v>
      </c>
      <c r="N378">
        <v>210.56</v>
      </c>
      <c r="O378" t="s">
        <v>61</v>
      </c>
      <c r="P378">
        <v>32.229999999999997</v>
      </c>
      <c r="Q378" t="str">
        <f t="shared" si="40"/>
        <v>2018-07</v>
      </c>
      <c r="R378">
        <f t="shared" si="41"/>
        <v>1292.8512170939478</v>
      </c>
      <c r="S378">
        <f t="shared" si="42"/>
        <v>14.537852435555466</v>
      </c>
      <c r="T378" t="str">
        <f t="shared" si="43"/>
        <v>Maharashtra</v>
      </c>
      <c r="U378" t="str">
        <f t="shared" si="44"/>
        <v>Pune</v>
      </c>
      <c r="V378" t="str">
        <f t="shared" si="45"/>
        <v>Wheat</v>
      </c>
      <c r="W378" t="str">
        <f t="shared" si="46"/>
        <v>Npk</v>
      </c>
      <c r="X378" t="str">
        <f t="shared" si="47"/>
        <v>Food</v>
      </c>
    </row>
    <row r="379" spans="1:24" x14ac:dyDescent="0.25">
      <c r="A379" t="s">
        <v>444</v>
      </c>
      <c r="B379" s="1">
        <v>43253</v>
      </c>
      <c r="C379">
        <v>2018</v>
      </c>
      <c r="D379" t="s">
        <v>31</v>
      </c>
      <c r="E379" t="s">
        <v>32</v>
      </c>
      <c r="F379" t="s">
        <v>33</v>
      </c>
      <c r="G379" t="s">
        <v>39</v>
      </c>
      <c r="H379">
        <v>92.29</v>
      </c>
      <c r="I379">
        <v>616.66</v>
      </c>
      <c r="J379">
        <v>6681.75</v>
      </c>
      <c r="K379" t="s">
        <v>28</v>
      </c>
      <c r="L379" t="s">
        <v>47</v>
      </c>
      <c r="M379">
        <v>124.9</v>
      </c>
      <c r="N379">
        <v>965.87</v>
      </c>
      <c r="O379" t="s">
        <v>70</v>
      </c>
      <c r="P379">
        <v>28.96</v>
      </c>
      <c r="Q379" t="str">
        <f t="shared" si="40"/>
        <v>2018-06</v>
      </c>
      <c r="R379">
        <f t="shared" si="41"/>
        <v>2704.0124643370227</v>
      </c>
      <c r="S379">
        <f t="shared" si="42"/>
        <v>21.649419250096258</v>
      </c>
      <c r="T379" t="str">
        <f t="shared" si="43"/>
        <v>Maharashtra</v>
      </c>
      <c r="U379" t="str">
        <f t="shared" si="44"/>
        <v>Pune</v>
      </c>
      <c r="V379" t="str">
        <f t="shared" si="45"/>
        <v>Cotton</v>
      </c>
      <c r="W379" t="str">
        <f t="shared" si="46"/>
        <v>Vermicompost</v>
      </c>
      <c r="X379" t="str">
        <f t="shared" si="47"/>
        <v>Cash</v>
      </c>
    </row>
    <row r="380" spans="1:24" x14ac:dyDescent="0.25">
      <c r="A380" t="s">
        <v>445</v>
      </c>
      <c r="B380" s="1">
        <v>42476</v>
      </c>
      <c r="C380">
        <v>2016</v>
      </c>
      <c r="D380" t="s">
        <v>31</v>
      </c>
      <c r="E380" t="s">
        <v>82</v>
      </c>
      <c r="F380" t="s">
        <v>19</v>
      </c>
      <c r="G380" t="s">
        <v>46</v>
      </c>
      <c r="H380">
        <v>40.08</v>
      </c>
      <c r="I380">
        <v>79.34</v>
      </c>
      <c r="J380">
        <v>1979.62</v>
      </c>
      <c r="K380" t="s">
        <v>28</v>
      </c>
      <c r="L380" t="s">
        <v>47</v>
      </c>
      <c r="M380">
        <v>257.11</v>
      </c>
      <c r="N380">
        <v>420.59</v>
      </c>
      <c r="O380" t="s">
        <v>23</v>
      </c>
      <c r="P380">
        <v>26.33</v>
      </c>
      <c r="Q380" t="str">
        <f t="shared" si="40"/>
        <v>2016-04</v>
      </c>
      <c r="R380">
        <f t="shared" si="41"/>
        <v>801.12502782218087</v>
      </c>
      <c r="S380">
        <f t="shared" si="42"/>
        <v>3.1158843600878257</v>
      </c>
      <c r="T380" t="str">
        <f t="shared" si="43"/>
        <v>Maharashtra</v>
      </c>
      <c r="U380" t="str">
        <f t="shared" si="44"/>
        <v>Nagpur</v>
      </c>
      <c r="V380" t="str">
        <f t="shared" si="45"/>
        <v>Sugarcane</v>
      </c>
      <c r="W380" t="str">
        <f t="shared" si="46"/>
        <v>Vermicompost</v>
      </c>
      <c r="X380" t="str">
        <f t="shared" si="47"/>
        <v>Cash</v>
      </c>
    </row>
    <row r="381" spans="1:24" x14ac:dyDescent="0.25">
      <c r="A381" t="s">
        <v>446</v>
      </c>
      <c r="B381" s="1">
        <v>44659</v>
      </c>
      <c r="C381">
        <v>2022</v>
      </c>
      <c r="D381" t="s">
        <v>44</v>
      </c>
      <c r="E381" t="s">
        <v>67</v>
      </c>
      <c r="F381" t="s">
        <v>19</v>
      </c>
      <c r="G381" t="s">
        <v>39</v>
      </c>
      <c r="H381">
        <v>27.91</v>
      </c>
      <c r="I381">
        <v>136.5</v>
      </c>
      <c r="J381">
        <v>4890.74</v>
      </c>
      <c r="K381" t="s">
        <v>34</v>
      </c>
      <c r="L381" t="s">
        <v>29</v>
      </c>
      <c r="M381">
        <v>153.22999999999999</v>
      </c>
      <c r="N381">
        <v>1053.48</v>
      </c>
      <c r="O381" t="s">
        <v>42</v>
      </c>
      <c r="P381">
        <v>22.05</v>
      </c>
      <c r="Q381" t="str">
        <f t="shared" si="40"/>
        <v>2022-04</v>
      </c>
      <c r="R381">
        <f t="shared" si="41"/>
        <v>1979.2153133283421</v>
      </c>
      <c r="S381">
        <f t="shared" si="42"/>
        <v>12.916630642356864</v>
      </c>
      <c r="T381" t="str">
        <f t="shared" si="43"/>
        <v>West Bengal</v>
      </c>
      <c r="U381" t="str">
        <f t="shared" si="44"/>
        <v>Darjeeling</v>
      </c>
      <c r="V381" t="str">
        <f t="shared" si="45"/>
        <v>Cotton</v>
      </c>
      <c r="W381" t="str">
        <f t="shared" si="46"/>
        <v>Compost</v>
      </c>
      <c r="X381" t="str">
        <f t="shared" si="47"/>
        <v>Cash</v>
      </c>
    </row>
    <row r="382" spans="1:24" x14ac:dyDescent="0.25">
      <c r="A382" t="s">
        <v>447</v>
      </c>
      <c r="B382" s="1">
        <v>41748</v>
      </c>
      <c r="C382">
        <v>2014</v>
      </c>
      <c r="D382" t="s">
        <v>59</v>
      </c>
      <c r="E382" t="s">
        <v>63</v>
      </c>
      <c r="F382" t="s">
        <v>19</v>
      </c>
      <c r="G382" t="s">
        <v>27</v>
      </c>
      <c r="H382">
        <v>49.71</v>
      </c>
      <c r="I382">
        <v>145.35</v>
      </c>
      <c r="J382">
        <v>2923.86</v>
      </c>
      <c r="K382" t="s">
        <v>40</v>
      </c>
      <c r="L382" t="s">
        <v>49</v>
      </c>
      <c r="M382">
        <v>62.41</v>
      </c>
      <c r="N382">
        <v>734.97</v>
      </c>
      <c r="O382" t="s">
        <v>42</v>
      </c>
      <c r="P382">
        <v>34.58</v>
      </c>
      <c r="Q382" t="str">
        <f t="shared" si="40"/>
        <v>2014-04</v>
      </c>
      <c r="R382">
        <f t="shared" si="41"/>
        <v>1183.2459885473786</v>
      </c>
      <c r="S382">
        <f t="shared" si="42"/>
        <v>18.959237118208279</v>
      </c>
      <c r="T382" t="str">
        <f t="shared" si="43"/>
        <v>Bihar</v>
      </c>
      <c r="U382" t="str">
        <f t="shared" si="44"/>
        <v>Gaya</v>
      </c>
      <c r="V382" t="str">
        <f t="shared" si="45"/>
        <v>Pulses</v>
      </c>
      <c r="W382" t="str">
        <f t="shared" si="46"/>
        <v>Npk</v>
      </c>
      <c r="X382" t="str">
        <f t="shared" si="47"/>
        <v>Food</v>
      </c>
    </row>
    <row r="383" spans="1:24" x14ac:dyDescent="0.25">
      <c r="A383" t="s">
        <v>448</v>
      </c>
      <c r="B383" s="1">
        <v>42855</v>
      </c>
      <c r="C383">
        <v>2017</v>
      </c>
      <c r="D383" t="s">
        <v>103</v>
      </c>
      <c r="E383" t="s">
        <v>228</v>
      </c>
      <c r="F383" t="s">
        <v>19</v>
      </c>
      <c r="G383" t="s">
        <v>64</v>
      </c>
      <c r="H383">
        <v>24.05</v>
      </c>
      <c r="I383">
        <v>45.79</v>
      </c>
      <c r="J383">
        <v>1904.1</v>
      </c>
      <c r="K383" t="s">
        <v>28</v>
      </c>
      <c r="L383" t="s">
        <v>22</v>
      </c>
      <c r="M383">
        <v>104.3</v>
      </c>
      <c r="N383">
        <v>620.24</v>
      </c>
      <c r="O383" t="s">
        <v>52</v>
      </c>
      <c r="P383">
        <v>34.97</v>
      </c>
      <c r="Q383" t="str">
        <f t="shared" si="40"/>
        <v>2017-04</v>
      </c>
      <c r="R383">
        <f t="shared" si="41"/>
        <v>770.56312094049088</v>
      </c>
      <c r="S383">
        <f t="shared" si="42"/>
        <v>7.3879493858148697</v>
      </c>
      <c r="T383" t="str">
        <f t="shared" si="43"/>
        <v>Haryana</v>
      </c>
      <c r="U383" t="str">
        <f t="shared" si="44"/>
        <v>Hisar</v>
      </c>
      <c r="V383" t="str">
        <f t="shared" si="45"/>
        <v>Wheat</v>
      </c>
      <c r="W383" t="str">
        <f t="shared" si="46"/>
        <v>Urea</v>
      </c>
      <c r="X383" t="str">
        <f t="shared" si="47"/>
        <v>Food</v>
      </c>
    </row>
    <row r="384" spans="1:24" x14ac:dyDescent="0.25">
      <c r="A384" t="s">
        <v>449</v>
      </c>
      <c r="B384" s="1">
        <v>44716</v>
      </c>
      <c r="C384">
        <v>2022</v>
      </c>
      <c r="D384" t="s">
        <v>31</v>
      </c>
      <c r="E384" t="s">
        <v>82</v>
      </c>
      <c r="F384" t="s">
        <v>33</v>
      </c>
      <c r="G384" t="s">
        <v>64</v>
      </c>
      <c r="H384">
        <v>27.38</v>
      </c>
      <c r="I384">
        <v>91.85</v>
      </c>
      <c r="J384">
        <v>3354.53</v>
      </c>
      <c r="K384" t="s">
        <v>28</v>
      </c>
      <c r="L384" t="s">
        <v>22</v>
      </c>
      <c r="M384">
        <v>95.4</v>
      </c>
      <c r="N384">
        <v>1095.7</v>
      </c>
      <c r="O384" t="s">
        <v>70</v>
      </c>
      <c r="P384">
        <v>32.26</v>
      </c>
      <c r="Q384" t="str">
        <f t="shared" si="40"/>
        <v>2022-06</v>
      </c>
      <c r="R384">
        <f t="shared" si="41"/>
        <v>1357.5322231440077</v>
      </c>
      <c r="S384">
        <f t="shared" si="42"/>
        <v>14.229897517232784</v>
      </c>
      <c r="T384" t="str">
        <f t="shared" si="43"/>
        <v>Maharashtra</v>
      </c>
      <c r="U384" t="str">
        <f t="shared" si="44"/>
        <v>Nagpur</v>
      </c>
      <c r="V384" t="str">
        <f t="shared" si="45"/>
        <v>Wheat</v>
      </c>
      <c r="W384" t="str">
        <f t="shared" si="46"/>
        <v>Urea</v>
      </c>
      <c r="X384" t="str">
        <f t="shared" si="47"/>
        <v>Food</v>
      </c>
    </row>
    <row r="385" spans="1:24" x14ac:dyDescent="0.25">
      <c r="A385" t="s">
        <v>450</v>
      </c>
      <c r="B385" s="1">
        <v>41632</v>
      </c>
      <c r="C385">
        <v>2013</v>
      </c>
      <c r="D385" t="s">
        <v>44</v>
      </c>
      <c r="E385" t="s">
        <v>67</v>
      </c>
      <c r="F385" t="s">
        <v>38</v>
      </c>
      <c r="G385" t="s">
        <v>46</v>
      </c>
      <c r="H385">
        <v>25.47</v>
      </c>
      <c r="I385">
        <v>177.45</v>
      </c>
      <c r="J385">
        <v>6967.21</v>
      </c>
      <c r="K385" t="s">
        <v>40</v>
      </c>
      <c r="L385" t="s">
        <v>29</v>
      </c>
      <c r="M385">
        <v>165.21</v>
      </c>
      <c r="N385">
        <v>971</v>
      </c>
      <c r="O385" t="s">
        <v>61</v>
      </c>
      <c r="P385">
        <v>29.99</v>
      </c>
      <c r="Q385" t="str">
        <f t="shared" si="40"/>
        <v>2013-12</v>
      </c>
      <c r="R385">
        <f t="shared" si="41"/>
        <v>2819.5342061067158</v>
      </c>
      <c r="S385">
        <f t="shared" si="42"/>
        <v>17.066365269092159</v>
      </c>
      <c r="T385" t="str">
        <f t="shared" si="43"/>
        <v>West Bengal</v>
      </c>
      <c r="U385" t="str">
        <f t="shared" si="44"/>
        <v>Darjeeling</v>
      </c>
      <c r="V385" t="str">
        <f t="shared" si="45"/>
        <v>Sugarcane</v>
      </c>
      <c r="W385" t="str">
        <f t="shared" si="46"/>
        <v>Compost</v>
      </c>
      <c r="X385" t="str">
        <f t="shared" si="47"/>
        <v>Cash</v>
      </c>
    </row>
    <row r="386" spans="1:24" x14ac:dyDescent="0.25">
      <c r="A386" t="s">
        <v>451</v>
      </c>
      <c r="B386" s="1">
        <v>41957</v>
      </c>
      <c r="C386">
        <v>2014</v>
      </c>
      <c r="D386" t="s">
        <v>36</v>
      </c>
      <c r="E386" t="s">
        <v>77</v>
      </c>
      <c r="F386" t="s">
        <v>38</v>
      </c>
      <c r="G386" t="s">
        <v>56</v>
      </c>
      <c r="H386">
        <v>63.29</v>
      </c>
      <c r="I386">
        <v>79.31</v>
      </c>
      <c r="J386">
        <v>1253.1199999999999</v>
      </c>
      <c r="K386" t="s">
        <v>21</v>
      </c>
      <c r="L386" t="s">
        <v>41</v>
      </c>
      <c r="M386">
        <v>113.33</v>
      </c>
      <c r="N386">
        <v>838.52</v>
      </c>
      <c r="O386" t="s">
        <v>42</v>
      </c>
      <c r="P386">
        <v>25.41</v>
      </c>
      <c r="Q386" t="str">
        <f t="shared" ref="Q386:Q449" si="48">TEXT(B386,"yyyy-mm")</f>
        <v>2014-11</v>
      </c>
      <c r="R386">
        <f t="shared" ref="R386:R449" si="49">J386/2.47105</f>
        <v>507.12045486736406</v>
      </c>
      <c r="S386">
        <f t="shared" ref="S386:S449" si="50">R386/M386</f>
        <v>4.4747238583549285</v>
      </c>
      <c r="T386" t="str">
        <f t="shared" ref="T386:T449" si="51">PROPER(TRIM(D386))</f>
        <v>Karnataka</v>
      </c>
      <c r="U386" t="str">
        <f t="shared" ref="U386:U449" si="52">PROPER(TRIM(E386))</f>
        <v>Hubli</v>
      </c>
      <c r="V386" t="str">
        <f t="shared" ref="V386:V449" si="53">PROPER(TRIM(G386))</f>
        <v>Rice</v>
      </c>
      <c r="W386" t="str">
        <f t="shared" ref="W386:W449" si="54">PROPER(TRIM(L386))</f>
        <v>Dap</v>
      </c>
      <c r="X386" t="str">
        <f t="shared" ref="X386:X449" si="55">IF(OR(V386="Wheat",V386="Rice",V386="Maize",V386="Pulses"),"Food","Cash")</f>
        <v>Food</v>
      </c>
    </row>
    <row r="387" spans="1:24" x14ac:dyDescent="0.25">
      <c r="A387" t="s">
        <v>452</v>
      </c>
      <c r="B387" s="1">
        <v>44257</v>
      </c>
      <c r="C387">
        <v>2020</v>
      </c>
      <c r="D387" t="s">
        <v>25</v>
      </c>
      <c r="E387" t="s">
        <v>26</v>
      </c>
      <c r="F387" t="s">
        <v>38</v>
      </c>
      <c r="G387" t="s">
        <v>20</v>
      </c>
      <c r="H387">
        <v>2.4900000000000002</v>
      </c>
      <c r="I387">
        <v>14.36</v>
      </c>
      <c r="J387">
        <v>5766.34</v>
      </c>
      <c r="K387" t="s">
        <v>21</v>
      </c>
      <c r="L387" t="s">
        <v>47</v>
      </c>
      <c r="M387">
        <v>148.94999999999999</v>
      </c>
      <c r="N387">
        <v>443.09</v>
      </c>
      <c r="O387" t="s">
        <v>23</v>
      </c>
      <c r="P387">
        <v>28.72</v>
      </c>
      <c r="Q387" t="str">
        <f t="shared" si="48"/>
        <v>2021-03</v>
      </c>
      <c r="R387">
        <f t="shared" si="49"/>
        <v>2333.5586086886142</v>
      </c>
      <c r="S387">
        <f t="shared" si="50"/>
        <v>15.666724462494892</v>
      </c>
      <c r="T387" t="str">
        <f t="shared" si="51"/>
        <v>Punjab</v>
      </c>
      <c r="U387" t="str">
        <f t="shared" si="52"/>
        <v>Ludhiana</v>
      </c>
      <c r="V387" t="str">
        <f t="shared" si="53"/>
        <v>Maize</v>
      </c>
      <c r="W387" t="str">
        <f t="shared" si="54"/>
        <v>Vermicompost</v>
      </c>
      <c r="X387" t="str">
        <f t="shared" si="55"/>
        <v>Food</v>
      </c>
    </row>
    <row r="388" spans="1:24" x14ac:dyDescent="0.25">
      <c r="A388" t="s">
        <v>453</v>
      </c>
      <c r="B388" s="1">
        <v>44752</v>
      </c>
      <c r="C388">
        <v>2022</v>
      </c>
      <c r="D388" t="s">
        <v>103</v>
      </c>
      <c r="E388" t="s">
        <v>107</v>
      </c>
      <c r="F388" t="s">
        <v>33</v>
      </c>
      <c r="G388" t="s">
        <v>56</v>
      </c>
      <c r="H388">
        <v>16.61</v>
      </c>
      <c r="I388">
        <v>25.72</v>
      </c>
      <c r="J388">
        <v>1548.41</v>
      </c>
      <c r="K388" t="s">
        <v>34</v>
      </c>
      <c r="L388" t="s">
        <v>47</v>
      </c>
      <c r="M388">
        <v>282.70999999999998</v>
      </c>
      <c r="N388">
        <v>1196.97</v>
      </c>
      <c r="O388" t="s">
        <v>23</v>
      </c>
      <c r="P388">
        <v>20.9</v>
      </c>
      <c r="Q388" t="str">
        <f t="shared" si="48"/>
        <v>2022-07</v>
      </c>
      <c r="R388">
        <f t="shared" si="49"/>
        <v>626.62026264138728</v>
      </c>
      <c r="S388">
        <f t="shared" si="50"/>
        <v>2.2164771767584708</v>
      </c>
      <c r="T388" t="str">
        <f t="shared" si="51"/>
        <v>Haryana</v>
      </c>
      <c r="U388" t="str">
        <f t="shared" si="52"/>
        <v>Faridabad</v>
      </c>
      <c r="V388" t="str">
        <f t="shared" si="53"/>
        <v>Rice</v>
      </c>
      <c r="W388" t="str">
        <f t="shared" si="54"/>
        <v>Vermicompost</v>
      </c>
      <c r="X388" t="str">
        <f t="shared" si="55"/>
        <v>Food</v>
      </c>
    </row>
    <row r="389" spans="1:24" x14ac:dyDescent="0.25">
      <c r="A389" t="s">
        <v>454</v>
      </c>
      <c r="B389" s="1">
        <v>41310</v>
      </c>
      <c r="C389">
        <v>2012</v>
      </c>
      <c r="D389" t="s">
        <v>44</v>
      </c>
      <c r="E389" t="s">
        <v>45</v>
      </c>
      <c r="F389" t="s">
        <v>38</v>
      </c>
      <c r="G389" t="s">
        <v>56</v>
      </c>
      <c r="H389">
        <v>32.36</v>
      </c>
      <c r="I389">
        <v>140.77000000000001</v>
      </c>
      <c r="J389">
        <v>4350.1000000000004</v>
      </c>
      <c r="K389" t="s">
        <v>34</v>
      </c>
      <c r="L389" t="s">
        <v>49</v>
      </c>
      <c r="M389">
        <v>251.38</v>
      </c>
      <c r="N389">
        <v>638.72</v>
      </c>
      <c r="O389" t="s">
        <v>42</v>
      </c>
      <c r="P389">
        <v>20.32</v>
      </c>
      <c r="Q389" t="str">
        <f t="shared" si="48"/>
        <v>2013-02</v>
      </c>
      <c r="R389">
        <f t="shared" si="49"/>
        <v>1760.4257299528542</v>
      </c>
      <c r="S389">
        <f t="shared" si="50"/>
        <v>7.003046105310105</v>
      </c>
      <c r="T389" t="str">
        <f t="shared" si="51"/>
        <v>West Bengal</v>
      </c>
      <c r="U389" t="str">
        <f t="shared" si="52"/>
        <v>Kolkata</v>
      </c>
      <c r="V389" t="str">
        <f t="shared" si="53"/>
        <v>Rice</v>
      </c>
      <c r="W389" t="str">
        <f t="shared" si="54"/>
        <v>Npk</v>
      </c>
      <c r="X389" t="str">
        <f t="shared" si="55"/>
        <v>Food</v>
      </c>
    </row>
    <row r="390" spans="1:24" x14ac:dyDescent="0.25">
      <c r="A390" t="s">
        <v>455</v>
      </c>
      <c r="B390" s="1">
        <v>41910</v>
      </c>
      <c r="C390">
        <v>2014</v>
      </c>
      <c r="D390" t="s">
        <v>17</v>
      </c>
      <c r="E390" t="s">
        <v>18</v>
      </c>
      <c r="F390" t="s">
        <v>33</v>
      </c>
      <c r="G390" t="s">
        <v>46</v>
      </c>
      <c r="H390">
        <v>70.959999999999994</v>
      </c>
      <c r="I390">
        <v>308.97000000000003</v>
      </c>
      <c r="J390">
        <v>4354.1499999999996</v>
      </c>
      <c r="K390" t="s">
        <v>28</v>
      </c>
      <c r="L390" t="s">
        <v>49</v>
      </c>
      <c r="M390">
        <v>97.44</v>
      </c>
      <c r="N390">
        <v>386.63</v>
      </c>
      <c r="O390" t="s">
        <v>70</v>
      </c>
      <c r="P390">
        <v>24.86</v>
      </c>
      <c r="Q390" t="str">
        <f t="shared" si="48"/>
        <v>2014-09</v>
      </c>
      <c r="R390">
        <f t="shared" si="49"/>
        <v>1762.0647093340885</v>
      </c>
      <c r="S390">
        <f t="shared" si="50"/>
        <v>18.083586918453289</v>
      </c>
      <c r="T390" t="str">
        <f t="shared" si="51"/>
        <v>Uttar Pradesh</v>
      </c>
      <c r="U390" t="str">
        <f t="shared" si="52"/>
        <v>Lucknow</v>
      </c>
      <c r="V390" t="str">
        <f t="shared" si="53"/>
        <v>Sugarcane</v>
      </c>
      <c r="W390" t="str">
        <f t="shared" si="54"/>
        <v>Npk</v>
      </c>
      <c r="X390" t="str">
        <f t="shared" si="55"/>
        <v>Cash</v>
      </c>
    </row>
    <row r="391" spans="1:24" x14ac:dyDescent="0.25">
      <c r="A391" t="s">
        <v>456</v>
      </c>
      <c r="B391" s="1">
        <v>43299</v>
      </c>
      <c r="C391">
        <v>2018</v>
      </c>
      <c r="D391" t="s">
        <v>44</v>
      </c>
      <c r="E391" t="s">
        <v>67</v>
      </c>
      <c r="F391" t="s">
        <v>33</v>
      </c>
      <c r="G391" t="s">
        <v>64</v>
      </c>
      <c r="H391">
        <v>53.58</v>
      </c>
      <c r="I391">
        <v>198.05</v>
      </c>
      <c r="J391">
        <v>3696.31</v>
      </c>
      <c r="K391" t="s">
        <v>34</v>
      </c>
      <c r="L391" t="s">
        <v>22</v>
      </c>
      <c r="M391">
        <v>185.4</v>
      </c>
      <c r="N391">
        <v>654.08000000000004</v>
      </c>
      <c r="O391" t="s">
        <v>61</v>
      </c>
      <c r="P391">
        <v>25.69</v>
      </c>
      <c r="Q391" t="str">
        <f t="shared" si="48"/>
        <v>2018-07</v>
      </c>
      <c r="R391">
        <f t="shared" si="49"/>
        <v>1495.8458954695373</v>
      </c>
      <c r="S391">
        <f t="shared" si="50"/>
        <v>8.068208713427925</v>
      </c>
      <c r="T391" t="str">
        <f t="shared" si="51"/>
        <v>West Bengal</v>
      </c>
      <c r="U391" t="str">
        <f t="shared" si="52"/>
        <v>Darjeeling</v>
      </c>
      <c r="V391" t="str">
        <f t="shared" si="53"/>
        <v>Wheat</v>
      </c>
      <c r="W391" t="str">
        <f t="shared" si="54"/>
        <v>Urea</v>
      </c>
      <c r="X391" t="str">
        <f t="shared" si="55"/>
        <v>Food</v>
      </c>
    </row>
    <row r="392" spans="1:24" x14ac:dyDescent="0.25">
      <c r="A392" t="s">
        <v>457</v>
      </c>
      <c r="B392" s="1">
        <v>44670</v>
      </c>
      <c r="C392">
        <v>2022</v>
      </c>
      <c r="D392" t="s">
        <v>59</v>
      </c>
      <c r="E392" t="s">
        <v>63</v>
      </c>
      <c r="F392" t="s">
        <v>19</v>
      </c>
      <c r="G392" t="s">
        <v>56</v>
      </c>
      <c r="H392">
        <v>32.75</v>
      </c>
      <c r="I392">
        <v>45.2</v>
      </c>
      <c r="J392">
        <v>1380.05</v>
      </c>
      <c r="K392" t="s">
        <v>28</v>
      </c>
      <c r="L392" t="s">
        <v>49</v>
      </c>
      <c r="M392">
        <v>97.47</v>
      </c>
      <c r="N392">
        <v>883.22</v>
      </c>
      <c r="O392" t="s">
        <v>61</v>
      </c>
      <c r="P392">
        <v>22.31</v>
      </c>
      <c r="Q392" t="str">
        <f t="shared" si="48"/>
        <v>2022-04</v>
      </c>
      <c r="R392">
        <f t="shared" si="49"/>
        <v>558.48728273406039</v>
      </c>
      <c r="S392">
        <f t="shared" si="50"/>
        <v>5.7298377216996039</v>
      </c>
      <c r="T392" t="str">
        <f t="shared" si="51"/>
        <v>Bihar</v>
      </c>
      <c r="U392" t="str">
        <f t="shared" si="52"/>
        <v>Gaya</v>
      </c>
      <c r="V392" t="str">
        <f t="shared" si="53"/>
        <v>Rice</v>
      </c>
      <c r="W392" t="str">
        <f t="shared" si="54"/>
        <v>Npk</v>
      </c>
      <c r="X392" t="str">
        <f t="shared" si="55"/>
        <v>Food</v>
      </c>
    </row>
    <row r="393" spans="1:24" x14ac:dyDescent="0.25">
      <c r="A393" t="s">
        <v>458</v>
      </c>
      <c r="B393" s="1">
        <v>42181</v>
      </c>
      <c r="C393">
        <v>2015</v>
      </c>
      <c r="D393" t="s">
        <v>36</v>
      </c>
      <c r="E393" t="s">
        <v>77</v>
      </c>
      <c r="F393" t="s">
        <v>33</v>
      </c>
      <c r="G393" t="s">
        <v>64</v>
      </c>
      <c r="H393">
        <v>52.8</v>
      </c>
      <c r="I393">
        <v>73.92</v>
      </c>
      <c r="J393">
        <v>1400.08</v>
      </c>
      <c r="K393" t="s">
        <v>40</v>
      </c>
      <c r="L393" t="s">
        <v>22</v>
      </c>
      <c r="M393">
        <v>94.66</v>
      </c>
      <c r="N393">
        <v>231.27</v>
      </c>
      <c r="O393" t="s">
        <v>23</v>
      </c>
      <c r="P393">
        <v>27.28</v>
      </c>
      <c r="Q393" t="str">
        <f t="shared" si="48"/>
        <v>2015-06</v>
      </c>
      <c r="R393">
        <f t="shared" si="49"/>
        <v>566.59314866150009</v>
      </c>
      <c r="S393">
        <f t="shared" si="50"/>
        <v>5.98556041265054</v>
      </c>
      <c r="T393" t="str">
        <f t="shared" si="51"/>
        <v>Karnataka</v>
      </c>
      <c r="U393" t="str">
        <f t="shared" si="52"/>
        <v>Hubli</v>
      </c>
      <c r="V393" t="str">
        <f t="shared" si="53"/>
        <v>Wheat</v>
      </c>
      <c r="W393" t="str">
        <f t="shared" si="54"/>
        <v>Urea</v>
      </c>
      <c r="X393" t="str">
        <f t="shared" si="55"/>
        <v>Food</v>
      </c>
    </row>
    <row r="394" spans="1:24" x14ac:dyDescent="0.25">
      <c r="A394" t="s">
        <v>459</v>
      </c>
      <c r="B394" s="1">
        <v>42519</v>
      </c>
      <c r="C394">
        <v>2016</v>
      </c>
      <c r="D394" t="s">
        <v>59</v>
      </c>
      <c r="E394" t="s">
        <v>93</v>
      </c>
      <c r="F394" t="s">
        <v>19</v>
      </c>
      <c r="G394" t="s">
        <v>46</v>
      </c>
      <c r="H394">
        <v>53.06</v>
      </c>
      <c r="I394">
        <v>276.33</v>
      </c>
      <c r="J394">
        <v>5207.88</v>
      </c>
      <c r="K394" t="s">
        <v>34</v>
      </c>
      <c r="L394" t="s">
        <v>41</v>
      </c>
      <c r="M394">
        <v>62.27</v>
      </c>
      <c r="N394">
        <v>420.72</v>
      </c>
      <c r="O394" t="s">
        <v>23</v>
      </c>
      <c r="P394">
        <v>20.2</v>
      </c>
      <c r="Q394" t="str">
        <f t="shared" si="48"/>
        <v>2016-05</v>
      </c>
      <c r="R394">
        <f t="shared" si="49"/>
        <v>2107.5575160356934</v>
      </c>
      <c r="S394">
        <f t="shared" si="50"/>
        <v>33.84547159202976</v>
      </c>
      <c r="T394" t="str">
        <f t="shared" si="51"/>
        <v>Bihar</v>
      </c>
      <c r="U394" t="str">
        <f t="shared" si="52"/>
        <v>Bhagalpur</v>
      </c>
      <c r="V394" t="str">
        <f t="shared" si="53"/>
        <v>Sugarcane</v>
      </c>
      <c r="W394" t="str">
        <f t="shared" si="54"/>
        <v>Dap</v>
      </c>
      <c r="X394" t="str">
        <f t="shared" si="55"/>
        <v>Cash</v>
      </c>
    </row>
    <row r="395" spans="1:24" x14ac:dyDescent="0.25">
      <c r="A395" t="s">
        <v>460</v>
      </c>
      <c r="B395" s="1">
        <v>40916</v>
      </c>
      <c r="C395">
        <v>2011</v>
      </c>
      <c r="D395" t="s">
        <v>17</v>
      </c>
      <c r="E395" t="s">
        <v>72</v>
      </c>
      <c r="F395" t="s">
        <v>38</v>
      </c>
      <c r="G395" t="s">
        <v>39</v>
      </c>
      <c r="H395">
        <v>7.01</v>
      </c>
      <c r="I395">
        <v>30.48</v>
      </c>
      <c r="J395">
        <v>4348.12</v>
      </c>
      <c r="K395" t="s">
        <v>28</v>
      </c>
      <c r="L395" t="s">
        <v>47</v>
      </c>
      <c r="M395">
        <v>255.51</v>
      </c>
      <c r="N395">
        <v>994.25</v>
      </c>
      <c r="O395" t="s">
        <v>23</v>
      </c>
      <c r="P395">
        <v>32.35</v>
      </c>
      <c r="Q395" t="str">
        <f t="shared" si="48"/>
        <v>2012-01</v>
      </c>
      <c r="R395">
        <f t="shared" si="49"/>
        <v>1759.6244511442503</v>
      </c>
      <c r="S395">
        <f t="shared" si="50"/>
        <v>6.8867146144739948</v>
      </c>
      <c r="T395" t="str">
        <f t="shared" si="51"/>
        <v>Uttar Pradesh</v>
      </c>
      <c r="U395" t="str">
        <f t="shared" si="52"/>
        <v>Kanpur</v>
      </c>
      <c r="V395" t="str">
        <f t="shared" si="53"/>
        <v>Cotton</v>
      </c>
      <c r="W395" t="str">
        <f t="shared" si="54"/>
        <v>Vermicompost</v>
      </c>
      <c r="X395" t="str">
        <f t="shared" si="55"/>
        <v>Cash</v>
      </c>
    </row>
    <row r="396" spans="1:24" x14ac:dyDescent="0.25">
      <c r="A396" t="s">
        <v>461</v>
      </c>
      <c r="B396" s="1">
        <v>40982</v>
      </c>
      <c r="C396">
        <v>2011</v>
      </c>
      <c r="D396" t="s">
        <v>25</v>
      </c>
      <c r="E396" t="s">
        <v>69</v>
      </c>
      <c r="F396" t="s">
        <v>38</v>
      </c>
      <c r="G396" t="s">
        <v>64</v>
      </c>
      <c r="H396">
        <v>94.52</v>
      </c>
      <c r="I396">
        <v>639.29</v>
      </c>
      <c r="J396">
        <v>6763.52</v>
      </c>
      <c r="K396" t="s">
        <v>21</v>
      </c>
      <c r="L396" t="s">
        <v>41</v>
      </c>
      <c r="M396">
        <v>75.31</v>
      </c>
      <c r="N396">
        <v>431.02</v>
      </c>
      <c r="O396" t="s">
        <v>52</v>
      </c>
      <c r="P396">
        <v>22.84</v>
      </c>
      <c r="Q396" t="str">
        <f t="shared" si="48"/>
        <v>2012-03</v>
      </c>
      <c r="R396">
        <f t="shared" si="49"/>
        <v>2737.1036603872849</v>
      </c>
      <c r="S396">
        <f t="shared" si="50"/>
        <v>36.344491573327375</v>
      </c>
      <c r="T396" t="str">
        <f t="shared" si="51"/>
        <v>Punjab</v>
      </c>
      <c r="U396" t="str">
        <f t="shared" si="52"/>
        <v>Patiala</v>
      </c>
      <c r="V396" t="str">
        <f t="shared" si="53"/>
        <v>Wheat</v>
      </c>
      <c r="W396" t="str">
        <f t="shared" si="54"/>
        <v>Dap</v>
      </c>
      <c r="X396" t="str">
        <f t="shared" si="55"/>
        <v>Food</v>
      </c>
    </row>
    <row r="397" spans="1:24" x14ac:dyDescent="0.25">
      <c r="A397" t="s">
        <v>462</v>
      </c>
      <c r="B397" s="1">
        <v>41010</v>
      </c>
      <c r="C397">
        <v>2012</v>
      </c>
      <c r="D397" t="s">
        <v>59</v>
      </c>
      <c r="E397" t="s">
        <v>93</v>
      </c>
      <c r="F397" t="s">
        <v>19</v>
      </c>
      <c r="G397" t="s">
        <v>39</v>
      </c>
      <c r="H397">
        <v>56.26</v>
      </c>
      <c r="I397">
        <v>308.12</v>
      </c>
      <c r="J397">
        <v>5476.65</v>
      </c>
      <c r="K397" t="s">
        <v>34</v>
      </c>
      <c r="L397" t="s">
        <v>41</v>
      </c>
      <c r="M397">
        <v>218.62</v>
      </c>
      <c r="N397">
        <v>902.55</v>
      </c>
      <c r="O397" t="s">
        <v>52</v>
      </c>
      <c r="P397">
        <v>33.24</v>
      </c>
      <c r="Q397" t="str">
        <f t="shared" si="48"/>
        <v>2012-04</v>
      </c>
      <c r="R397">
        <f t="shared" si="49"/>
        <v>2216.3250440096313</v>
      </c>
      <c r="S397">
        <f t="shared" si="50"/>
        <v>10.137796377319694</v>
      </c>
      <c r="T397" t="str">
        <f t="shared" si="51"/>
        <v>Bihar</v>
      </c>
      <c r="U397" t="str">
        <f t="shared" si="52"/>
        <v>Bhagalpur</v>
      </c>
      <c r="V397" t="str">
        <f t="shared" si="53"/>
        <v>Cotton</v>
      </c>
      <c r="W397" t="str">
        <f t="shared" si="54"/>
        <v>Dap</v>
      </c>
      <c r="X397" t="str">
        <f t="shared" si="55"/>
        <v>Cash</v>
      </c>
    </row>
    <row r="398" spans="1:24" x14ac:dyDescent="0.25">
      <c r="A398" t="s">
        <v>463</v>
      </c>
      <c r="B398" s="1">
        <v>43488</v>
      </c>
      <c r="C398">
        <v>2018</v>
      </c>
      <c r="D398" t="s">
        <v>59</v>
      </c>
      <c r="E398" t="s">
        <v>63</v>
      </c>
      <c r="F398" t="s">
        <v>38</v>
      </c>
      <c r="G398" t="s">
        <v>39</v>
      </c>
      <c r="H398">
        <v>16.66</v>
      </c>
      <c r="I398">
        <v>116.46</v>
      </c>
      <c r="J398">
        <v>6990.6</v>
      </c>
      <c r="K398" t="s">
        <v>28</v>
      </c>
      <c r="L398" t="s">
        <v>49</v>
      </c>
      <c r="M398">
        <v>283.38</v>
      </c>
      <c r="N398">
        <v>1102.48</v>
      </c>
      <c r="O398" t="s">
        <v>61</v>
      </c>
      <c r="P398">
        <v>34.869999999999997</v>
      </c>
      <c r="Q398" t="str">
        <f t="shared" si="48"/>
        <v>2019-01</v>
      </c>
      <c r="R398">
        <f t="shared" si="49"/>
        <v>2828.9998178911801</v>
      </c>
      <c r="S398">
        <f t="shared" si="50"/>
        <v>9.9830609707501594</v>
      </c>
      <c r="T398" t="str">
        <f t="shared" si="51"/>
        <v>Bihar</v>
      </c>
      <c r="U398" t="str">
        <f t="shared" si="52"/>
        <v>Gaya</v>
      </c>
      <c r="V398" t="str">
        <f t="shared" si="53"/>
        <v>Cotton</v>
      </c>
      <c r="W398" t="str">
        <f t="shared" si="54"/>
        <v>Npk</v>
      </c>
      <c r="X398" t="str">
        <f t="shared" si="55"/>
        <v>Cash</v>
      </c>
    </row>
    <row r="399" spans="1:24" x14ac:dyDescent="0.25">
      <c r="A399" t="s">
        <v>464</v>
      </c>
      <c r="B399" s="1">
        <v>42489</v>
      </c>
      <c r="C399">
        <v>2016</v>
      </c>
      <c r="D399" t="s">
        <v>36</v>
      </c>
      <c r="E399" t="s">
        <v>77</v>
      </c>
      <c r="F399" t="s">
        <v>19</v>
      </c>
      <c r="G399" t="s">
        <v>20</v>
      </c>
      <c r="H399">
        <v>61.23</v>
      </c>
      <c r="I399">
        <v>268.12</v>
      </c>
      <c r="J399">
        <v>4378.87</v>
      </c>
      <c r="K399" t="s">
        <v>40</v>
      </c>
      <c r="L399" t="s">
        <v>29</v>
      </c>
      <c r="M399">
        <v>143.77000000000001</v>
      </c>
      <c r="N399">
        <v>750.24</v>
      </c>
      <c r="O399" t="s">
        <v>70</v>
      </c>
      <c r="P399">
        <v>25.4</v>
      </c>
      <c r="Q399" t="str">
        <f t="shared" si="48"/>
        <v>2016-04</v>
      </c>
      <c r="R399">
        <f t="shared" si="49"/>
        <v>1772.068553853625</v>
      </c>
      <c r="S399">
        <f t="shared" si="50"/>
        <v>12.325718535533316</v>
      </c>
      <c r="T399" t="str">
        <f t="shared" si="51"/>
        <v>Karnataka</v>
      </c>
      <c r="U399" t="str">
        <f t="shared" si="52"/>
        <v>Hubli</v>
      </c>
      <c r="V399" t="str">
        <f t="shared" si="53"/>
        <v>Maize</v>
      </c>
      <c r="W399" t="str">
        <f t="shared" si="54"/>
        <v>Compost</v>
      </c>
      <c r="X399" t="str">
        <f t="shared" si="55"/>
        <v>Food</v>
      </c>
    </row>
    <row r="400" spans="1:24" x14ac:dyDescent="0.25">
      <c r="A400" t="s">
        <v>465</v>
      </c>
      <c r="B400" s="1">
        <v>44353</v>
      </c>
      <c r="C400">
        <v>2021</v>
      </c>
      <c r="D400" t="s">
        <v>36</v>
      </c>
      <c r="E400" t="s">
        <v>37</v>
      </c>
      <c r="F400" t="s">
        <v>33</v>
      </c>
      <c r="G400" t="s">
        <v>20</v>
      </c>
      <c r="H400">
        <v>59.98</v>
      </c>
      <c r="I400">
        <v>246.26</v>
      </c>
      <c r="J400">
        <v>4105.66</v>
      </c>
      <c r="K400" t="s">
        <v>34</v>
      </c>
      <c r="L400" t="s">
        <v>49</v>
      </c>
      <c r="M400">
        <v>51.64</v>
      </c>
      <c r="N400">
        <v>1184.3900000000001</v>
      </c>
      <c r="O400" t="s">
        <v>42</v>
      </c>
      <c r="P400">
        <v>32.840000000000003</v>
      </c>
      <c r="Q400" t="str">
        <f t="shared" si="48"/>
        <v>2021-06</v>
      </c>
      <c r="R400">
        <f t="shared" si="49"/>
        <v>1661.5042188543332</v>
      </c>
      <c r="S400">
        <f t="shared" si="50"/>
        <v>32.1747524952427</v>
      </c>
      <c r="T400" t="str">
        <f t="shared" si="51"/>
        <v>Karnataka</v>
      </c>
      <c r="U400" t="str">
        <f t="shared" si="52"/>
        <v>Bangalore</v>
      </c>
      <c r="V400" t="str">
        <f t="shared" si="53"/>
        <v>Maize</v>
      </c>
      <c r="W400" t="str">
        <f t="shared" si="54"/>
        <v>Npk</v>
      </c>
      <c r="X400" t="str">
        <f t="shared" si="55"/>
        <v>Food</v>
      </c>
    </row>
    <row r="401" spans="1:24" x14ac:dyDescent="0.25">
      <c r="A401" t="s">
        <v>466</v>
      </c>
      <c r="B401" s="1">
        <v>43207</v>
      </c>
      <c r="C401">
        <v>2018</v>
      </c>
      <c r="D401" t="s">
        <v>59</v>
      </c>
      <c r="E401" t="s">
        <v>93</v>
      </c>
      <c r="F401" t="s">
        <v>19</v>
      </c>
      <c r="G401" t="s">
        <v>27</v>
      </c>
      <c r="H401">
        <v>16.32</v>
      </c>
      <c r="I401">
        <v>20.02</v>
      </c>
      <c r="J401">
        <v>1226.42</v>
      </c>
      <c r="K401" t="s">
        <v>34</v>
      </c>
      <c r="L401" t="s">
        <v>49</v>
      </c>
      <c r="M401">
        <v>89.03</v>
      </c>
      <c r="N401">
        <v>464.99</v>
      </c>
      <c r="O401" t="s">
        <v>61</v>
      </c>
      <c r="P401">
        <v>23.75</v>
      </c>
      <c r="Q401" t="str">
        <f t="shared" si="48"/>
        <v>2018-04</v>
      </c>
      <c r="R401">
        <f t="shared" si="49"/>
        <v>496.31533153922425</v>
      </c>
      <c r="S401">
        <f t="shared" si="50"/>
        <v>5.574697647301182</v>
      </c>
      <c r="T401" t="str">
        <f t="shared" si="51"/>
        <v>Bihar</v>
      </c>
      <c r="U401" t="str">
        <f t="shared" si="52"/>
        <v>Bhagalpur</v>
      </c>
      <c r="V401" t="str">
        <f t="shared" si="53"/>
        <v>Pulses</v>
      </c>
      <c r="W401" t="str">
        <f t="shared" si="54"/>
        <v>Npk</v>
      </c>
      <c r="X401" t="str">
        <f t="shared" si="55"/>
        <v>Food</v>
      </c>
    </row>
    <row r="402" spans="1:24" x14ac:dyDescent="0.25">
      <c r="A402" t="s">
        <v>467</v>
      </c>
      <c r="B402" s="1">
        <v>42467</v>
      </c>
      <c r="C402">
        <v>2016</v>
      </c>
      <c r="D402" t="s">
        <v>25</v>
      </c>
      <c r="E402" t="s">
        <v>69</v>
      </c>
      <c r="F402" t="s">
        <v>19</v>
      </c>
      <c r="G402" t="s">
        <v>56</v>
      </c>
      <c r="H402">
        <v>73.69</v>
      </c>
      <c r="I402">
        <v>393.61</v>
      </c>
      <c r="J402">
        <v>5341.48</v>
      </c>
      <c r="K402" t="s">
        <v>28</v>
      </c>
      <c r="L402" t="s">
        <v>47</v>
      </c>
      <c r="M402">
        <v>93.23</v>
      </c>
      <c r="N402">
        <v>1025.71</v>
      </c>
      <c r="O402" t="s">
        <v>61</v>
      </c>
      <c r="P402">
        <v>32.29</v>
      </c>
      <c r="Q402" t="str">
        <f t="shared" si="48"/>
        <v>2016-04</v>
      </c>
      <c r="R402">
        <f t="shared" si="49"/>
        <v>2161.6236013030898</v>
      </c>
      <c r="S402">
        <f t="shared" si="50"/>
        <v>23.185923000140402</v>
      </c>
      <c r="T402" t="str">
        <f t="shared" si="51"/>
        <v>Punjab</v>
      </c>
      <c r="U402" t="str">
        <f t="shared" si="52"/>
        <v>Patiala</v>
      </c>
      <c r="V402" t="str">
        <f t="shared" si="53"/>
        <v>Rice</v>
      </c>
      <c r="W402" t="str">
        <f t="shared" si="54"/>
        <v>Vermicompost</v>
      </c>
      <c r="X402" t="str">
        <f t="shared" si="55"/>
        <v>Food</v>
      </c>
    </row>
    <row r="403" spans="1:24" x14ac:dyDescent="0.25">
      <c r="A403" t="s">
        <v>468</v>
      </c>
      <c r="B403" s="1">
        <v>40276</v>
      </c>
      <c r="C403">
        <v>2010</v>
      </c>
      <c r="D403" t="s">
        <v>17</v>
      </c>
      <c r="E403" t="s">
        <v>72</v>
      </c>
      <c r="F403" t="s">
        <v>19</v>
      </c>
      <c r="G403" t="s">
        <v>27</v>
      </c>
      <c r="H403">
        <v>38.770000000000003</v>
      </c>
      <c r="I403">
        <v>220.24</v>
      </c>
      <c r="J403">
        <v>5680.73</v>
      </c>
      <c r="K403" t="s">
        <v>34</v>
      </c>
      <c r="L403" t="s">
        <v>41</v>
      </c>
      <c r="M403">
        <v>136.97999999999999</v>
      </c>
      <c r="N403">
        <v>1017.14</v>
      </c>
      <c r="O403" t="s">
        <v>52</v>
      </c>
      <c r="P403">
        <v>33.950000000000003</v>
      </c>
      <c r="Q403" t="str">
        <f t="shared" si="48"/>
        <v>2010-04</v>
      </c>
      <c r="R403">
        <f t="shared" si="49"/>
        <v>2298.9134173731813</v>
      </c>
      <c r="S403">
        <f t="shared" si="50"/>
        <v>16.782839957462269</v>
      </c>
      <c r="T403" t="str">
        <f t="shared" si="51"/>
        <v>Uttar Pradesh</v>
      </c>
      <c r="U403" t="str">
        <f t="shared" si="52"/>
        <v>Kanpur</v>
      </c>
      <c r="V403" t="str">
        <f t="shared" si="53"/>
        <v>Pulses</v>
      </c>
      <c r="W403" t="str">
        <f t="shared" si="54"/>
        <v>Dap</v>
      </c>
      <c r="X403" t="str">
        <f t="shared" si="55"/>
        <v>Food</v>
      </c>
    </row>
    <row r="404" spans="1:24" x14ac:dyDescent="0.25">
      <c r="A404" t="s">
        <v>469</v>
      </c>
      <c r="B404" s="1">
        <v>43745</v>
      </c>
      <c r="C404">
        <v>2019</v>
      </c>
      <c r="D404" t="s">
        <v>17</v>
      </c>
      <c r="E404" t="s">
        <v>54</v>
      </c>
      <c r="F404" t="s">
        <v>33</v>
      </c>
      <c r="G404" t="s">
        <v>39</v>
      </c>
      <c r="H404">
        <v>77.959999999999994</v>
      </c>
      <c r="I404">
        <v>256.87</v>
      </c>
      <c r="J404">
        <v>3294.92</v>
      </c>
      <c r="K404" t="s">
        <v>34</v>
      </c>
      <c r="L404" t="s">
        <v>41</v>
      </c>
      <c r="M404">
        <v>181.1</v>
      </c>
      <c r="N404">
        <v>519.32000000000005</v>
      </c>
      <c r="O404" t="s">
        <v>61</v>
      </c>
      <c r="P404">
        <v>22.24</v>
      </c>
      <c r="Q404" t="str">
        <f t="shared" si="48"/>
        <v>2019-10</v>
      </c>
      <c r="R404">
        <f t="shared" si="49"/>
        <v>1333.4088747698347</v>
      </c>
      <c r="S404">
        <f t="shared" si="50"/>
        <v>7.362831997624709</v>
      </c>
      <c r="T404" t="str">
        <f t="shared" si="51"/>
        <v>Uttar Pradesh</v>
      </c>
      <c r="U404" t="str">
        <f t="shared" si="52"/>
        <v>Varanasi</v>
      </c>
      <c r="V404" t="str">
        <f t="shared" si="53"/>
        <v>Cotton</v>
      </c>
      <c r="W404" t="str">
        <f t="shared" si="54"/>
        <v>Dap</v>
      </c>
      <c r="X404" t="str">
        <f t="shared" si="55"/>
        <v>Cash</v>
      </c>
    </row>
    <row r="405" spans="1:24" x14ac:dyDescent="0.25">
      <c r="A405" t="s">
        <v>470</v>
      </c>
      <c r="B405" s="1">
        <v>43943</v>
      </c>
      <c r="C405">
        <v>2020</v>
      </c>
      <c r="D405" t="s">
        <v>103</v>
      </c>
      <c r="E405" t="s">
        <v>104</v>
      </c>
      <c r="F405" t="s">
        <v>19</v>
      </c>
      <c r="G405" t="s">
        <v>46</v>
      </c>
      <c r="H405">
        <v>97.13</v>
      </c>
      <c r="I405">
        <v>535.87</v>
      </c>
      <c r="J405">
        <v>5517.04</v>
      </c>
      <c r="K405" t="s">
        <v>21</v>
      </c>
      <c r="L405" t="s">
        <v>22</v>
      </c>
      <c r="M405">
        <v>105.52</v>
      </c>
      <c r="N405">
        <v>489.78</v>
      </c>
      <c r="O405" t="s">
        <v>52</v>
      </c>
      <c r="P405">
        <v>22.22</v>
      </c>
      <c r="Q405" t="str">
        <f t="shared" si="48"/>
        <v>2020-04</v>
      </c>
      <c r="R405">
        <f t="shared" si="49"/>
        <v>2232.6703223326117</v>
      </c>
      <c r="S405">
        <f t="shared" si="50"/>
        <v>21.15874073476698</v>
      </c>
      <c r="T405" t="str">
        <f t="shared" si="51"/>
        <v>Haryana</v>
      </c>
      <c r="U405" t="str">
        <f t="shared" si="52"/>
        <v>Gurgaon</v>
      </c>
      <c r="V405" t="str">
        <f t="shared" si="53"/>
        <v>Sugarcane</v>
      </c>
      <c r="W405" t="str">
        <f t="shared" si="54"/>
        <v>Urea</v>
      </c>
      <c r="X405" t="str">
        <f t="shared" si="55"/>
        <v>Cash</v>
      </c>
    </row>
    <row r="406" spans="1:24" x14ac:dyDescent="0.25">
      <c r="A406" t="s">
        <v>471</v>
      </c>
      <c r="B406" s="1">
        <v>44398</v>
      </c>
      <c r="C406">
        <v>2021</v>
      </c>
      <c r="D406" t="s">
        <v>36</v>
      </c>
      <c r="E406" t="s">
        <v>77</v>
      </c>
      <c r="F406" t="s">
        <v>33</v>
      </c>
      <c r="G406" t="s">
        <v>27</v>
      </c>
      <c r="H406">
        <v>40.520000000000003</v>
      </c>
      <c r="I406">
        <v>61.2</v>
      </c>
      <c r="J406">
        <v>1510.47</v>
      </c>
      <c r="K406" t="s">
        <v>28</v>
      </c>
      <c r="L406" t="s">
        <v>29</v>
      </c>
      <c r="M406">
        <v>243.46</v>
      </c>
      <c r="N406">
        <v>330.38</v>
      </c>
      <c r="O406" t="s">
        <v>42</v>
      </c>
      <c r="P406">
        <v>27.21</v>
      </c>
      <c r="Q406" t="str">
        <f t="shared" si="48"/>
        <v>2021-07</v>
      </c>
      <c r="R406">
        <f t="shared" si="49"/>
        <v>611.26646567248747</v>
      </c>
      <c r="S406">
        <f t="shared" si="50"/>
        <v>2.5107470043230404</v>
      </c>
      <c r="T406" t="str">
        <f t="shared" si="51"/>
        <v>Karnataka</v>
      </c>
      <c r="U406" t="str">
        <f t="shared" si="52"/>
        <v>Hubli</v>
      </c>
      <c r="V406" t="str">
        <f t="shared" si="53"/>
        <v>Pulses</v>
      </c>
      <c r="W406" t="str">
        <f t="shared" si="54"/>
        <v>Compost</v>
      </c>
      <c r="X406" t="str">
        <f t="shared" si="55"/>
        <v>Food</v>
      </c>
    </row>
    <row r="407" spans="1:24" x14ac:dyDescent="0.25">
      <c r="A407" t="s">
        <v>472</v>
      </c>
      <c r="B407" s="1">
        <v>43764</v>
      </c>
      <c r="C407">
        <v>2019</v>
      </c>
      <c r="D407" t="s">
        <v>36</v>
      </c>
      <c r="E407" t="s">
        <v>77</v>
      </c>
      <c r="F407" t="s">
        <v>33</v>
      </c>
      <c r="G407" t="s">
        <v>27</v>
      </c>
      <c r="H407">
        <v>61.98</v>
      </c>
      <c r="I407">
        <v>335.56</v>
      </c>
      <c r="J407">
        <v>5414.01</v>
      </c>
      <c r="K407" t="s">
        <v>40</v>
      </c>
      <c r="L407" t="s">
        <v>22</v>
      </c>
      <c r="M407">
        <v>110.58</v>
      </c>
      <c r="N407">
        <v>466.26</v>
      </c>
      <c r="O407" t="s">
        <v>52</v>
      </c>
      <c r="P407">
        <v>24.85</v>
      </c>
      <c r="Q407" t="str">
        <f t="shared" si="48"/>
        <v>2019-10</v>
      </c>
      <c r="R407">
        <f t="shared" si="49"/>
        <v>2190.9754962465349</v>
      </c>
      <c r="S407">
        <f t="shared" si="50"/>
        <v>19.813487938565157</v>
      </c>
      <c r="T407" t="str">
        <f t="shared" si="51"/>
        <v>Karnataka</v>
      </c>
      <c r="U407" t="str">
        <f t="shared" si="52"/>
        <v>Hubli</v>
      </c>
      <c r="V407" t="str">
        <f t="shared" si="53"/>
        <v>Pulses</v>
      </c>
      <c r="W407" t="str">
        <f t="shared" si="54"/>
        <v>Urea</v>
      </c>
      <c r="X407" t="str">
        <f t="shared" si="55"/>
        <v>Food</v>
      </c>
    </row>
    <row r="408" spans="1:24" x14ac:dyDescent="0.25">
      <c r="A408" t="s">
        <v>473</v>
      </c>
      <c r="B408" s="1">
        <v>42788</v>
      </c>
      <c r="C408">
        <v>2016</v>
      </c>
      <c r="D408" t="s">
        <v>25</v>
      </c>
      <c r="E408" t="s">
        <v>69</v>
      </c>
      <c r="F408" t="s">
        <v>38</v>
      </c>
      <c r="G408" t="s">
        <v>20</v>
      </c>
      <c r="H408">
        <v>35.479999999999997</v>
      </c>
      <c r="I408">
        <v>103.76</v>
      </c>
      <c r="J408">
        <v>2924.43</v>
      </c>
      <c r="K408" t="s">
        <v>21</v>
      </c>
      <c r="L408" t="s">
        <v>47</v>
      </c>
      <c r="M408">
        <v>242.42</v>
      </c>
      <c r="N408">
        <v>369.26</v>
      </c>
      <c r="O408" t="s">
        <v>70</v>
      </c>
      <c r="P408">
        <v>29.24</v>
      </c>
      <c r="Q408" t="str">
        <f t="shared" si="48"/>
        <v>2017-02</v>
      </c>
      <c r="R408">
        <f t="shared" si="49"/>
        <v>1183.4766597195523</v>
      </c>
      <c r="S408">
        <f t="shared" si="50"/>
        <v>4.8819266550596172</v>
      </c>
      <c r="T408" t="str">
        <f t="shared" si="51"/>
        <v>Punjab</v>
      </c>
      <c r="U408" t="str">
        <f t="shared" si="52"/>
        <v>Patiala</v>
      </c>
      <c r="V408" t="str">
        <f t="shared" si="53"/>
        <v>Maize</v>
      </c>
      <c r="W408" t="str">
        <f t="shared" si="54"/>
        <v>Vermicompost</v>
      </c>
      <c r="X408" t="str">
        <f t="shared" si="55"/>
        <v>Food</v>
      </c>
    </row>
    <row r="409" spans="1:24" x14ac:dyDescent="0.25">
      <c r="A409" t="s">
        <v>474</v>
      </c>
      <c r="B409" s="1">
        <v>40403</v>
      </c>
      <c r="C409">
        <v>2010</v>
      </c>
      <c r="D409" t="s">
        <v>103</v>
      </c>
      <c r="E409" t="s">
        <v>107</v>
      </c>
      <c r="F409" t="s">
        <v>33</v>
      </c>
      <c r="G409" t="s">
        <v>56</v>
      </c>
      <c r="H409">
        <v>68.849999999999994</v>
      </c>
      <c r="I409">
        <v>133.29</v>
      </c>
      <c r="J409">
        <v>1935.95</v>
      </c>
      <c r="K409" t="s">
        <v>21</v>
      </c>
      <c r="L409" t="s">
        <v>22</v>
      </c>
      <c r="M409">
        <v>78.09</v>
      </c>
      <c r="N409">
        <v>254.54</v>
      </c>
      <c r="O409" t="s">
        <v>61</v>
      </c>
      <c r="P409">
        <v>33.9</v>
      </c>
      <c r="Q409" t="str">
        <f t="shared" si="48"/>
        <v>2010-08</v>
      </c>
      <c r="R409">
        <f t="shared" si="49"/>
        <v>783.45237854353411</v>
      </c>
      <c r="S409">
        <f t="shared" si="50"/>
        <v>10.032685088276784</v>
      </c>
      <c r="T409" t="str">
        <f t="shared" si="51"/>
        <v>Haryana</v>
      </c>
      <c r="U409" t="str">
        <f t="shared" si="52"/>
        <v>Faridabad</v>
      </c>
      <c r="V409" t="str">
        <f t="shared" si="53"/>
        <v>Rice</v>
      </c>
      <c r="W409" t="str">
        <f t="shared" si="54"/>
        <v>Urea</v>
      </c>
      <c r="X409" t="str">
        <f t="shared" si="55"/>
        <v>Food</v>
      </c>
    </row>
    <row r="410" spans="1:24" x14ac:dyDescent="0.25">
      <c r="A410" t="s">
        <v>475</v>
      </c>
      <c r="B410" s="1">
        <v>44779</v>
      </c>
      <c r="C410">
        <v>2022</v>
      </c>
      <c r="D410" t="s">
        <v>31</v>
      </c>
      <c r="E410" t="s">
        <v>117</v>
      </c>
      <c r="F410" t="s">
        <v>33</v>
      </c>
      <c r="G410" t="s">
        <v>20</v>
      </c>
      <c r="H410">
        <v>45.56</v>
      </c>
      <c r="I410">
        <v>51.78</v>
      </c>
      <c r="J410">
        <v>1136.49</v>
      </c>
      <c r="K410" t="s">
        <v>40</v>
      </c>
      <c r="L410" t="s">
        <v>47</v>
      </c>
      <c r="M410">
        <v>235</v>
      </c>
      <c r="N410">
        <v>411.88</v>
      </c>
      <c r="O410" t="s">
        <v>61</v>
      </c>
      <c r="P410">
        <v>27.85</v>
      </c>
      <c r="Q410" t="str">
        <f t="shared" si="48"/>
        <v>2022-08</v>
      </c>
      <c r="R410">
        <f t="shared" si="49"/>
        <v>459.92189555047452</v>
      </c>
      <c r="S410">
        <f t="shared" si="50"/>
        <v>1.9571144491509553</v>
      </c>
      <c r="T410" t="str">
        <f t="shared" si="51"/>
        <v>Maharashtra</v>
      </c>
      <c r="U410" t="str">
        <f t="shared" si="52"/>
        <v>Mumbai</v>
      </c>
      <c r="V410" t="str">
        <f t="shared" si="53"/>
        <v>Maize</v>
      </c>
      <c r="W410" t="str">
        <f t="shared" si="54"/>
        <v>Vermicompost</v>
      </c>
      <c r="X410" t="str">
        <f t="shared" si="55"/>
        <v>Food</v>
      </c>
    </row>
    <row r="411" spans="1:24" x14ac:dyDescent="0.25">
      <c r="A411" t="s">
        <v>476</v>
      </c>
      <c r="B411" s="1">
        <v>44417</v>
      </c>
      <c r="C411">
        <v>2021</v>
      </c>
      <c r="D411" t="s">
        <v>36</v>
      </c>
      <c r="E411" t="s">
        <v>77</v>
      </c>
      <c r="F411" t="s">
        <v>33</v>
      </c>
      <c r="G411" t="s">
        <v>39</v>
      </c>
      <c r="H411">
        <v>70.180000000000007</v>
      </c>
      <c r="I411">
        <v>77.92</v>
      </c>
      <c r="J411">
        <v>1110.33</v>
      </c>
      <c r="K411" t="s">
        <v>21</v>
      </c>
      <c r="L411" t="s">
        <v>22</v>
      </c>
      <c r="M411">
        <v>113.86</v>
      </c>
      <c r="N411">
        <v>260.11</v>
      </c>
      <c r="O411" t="s">
        <v>42</v>
      </c>
      <c r="P411">
        <v>31.84</v>
      </c>
      <c r="Q411" t="str">
        <f t="shared" si="48"/>
        <v>2021-08</v>
      </c>
      <c r="R411">
        <f t="shared" si="49"/>
        <v>449.33530280649921</v>
      </c>
      <c r="S411">
        <f t="shared" si="50"/>
        <v>3.946384180629714</v>
      </c>
      <c r="T411" t="str">
        <f t="shared" si="51"/>
        <v>Karnataka</v>
      </c>
      <c r="U411" t="str">
        <f t="shared" si="52"/>
        <v>Hubli</v>
      </c>
      <c r="V411" t="str">
        <f t="shared" si="53"/>
        <v>Cotton</v>
      </c>
      <c r="W411" t="str">
        <f t="shared" si="54"/>
        <v>Urea</v>
      </c>
      <c r="X411" t="str">
        <f t="shared" si="55"/>
        <v>Cash</v>
      </c>
    </row>
    <row r="412" spans="1:24" x14ac:dyDescent="0.25">
      <c r="A412" t="s">
        <v>477</v>
      </c>
      <c r="B412" s="1">
        <v>40427</v>
      </c>
      <c r="C412">
        <v>2010</v>
      </c>
      <c r="D412" t="s">
        <v>36</v>
      </c>
      <c r="E412" t="s">
        <v>77</v>
      </c>
      <c r="F412" t="s">
        <v>33</v>
      </c>
      <c r="G412" t="s">
        <v>46</v>
      </c>
      <c r="H412">
        <v>66.38</v>
      </c>
      <c r="I412">
        <v>330.43</v>
      </c>
      <c r="J412">
        <v>4977.8900000000003</v>
      </c>
      <c r="K412" t="s">
        <v>34</v>
      </c>
      <c r="L412" t="s">
        <v>47</v>
      </c>
      <c r="M412">
        <v>266.07</v>
      </c>
      <c r="N412">
        <v>219.08</v>
      </c>
      <c r="O412" t="s">
        <v>52</v>
      </c>
      <c r="P412">
        <v>23.47</v>
      </c>
      <c r="Q412" t="str">
        <f t="shared" si="48"/>
        <v>2010-09</v>
      </c>
      <c r="R412">
        <f t="shared" si="49"/>
        <v>2014.4837214949112</v>
      </c>
      <c r="S412">
        <f t="shared" si="50"/>
        <v>7.5712546378581242</v>
      </c>
      <c r="T412" t="str">
        <f t="shared" si="51"/>
        <v>Karnataka</v>
      </c>
      <c r="U412" t="str">
        <f t="shared" si="52"/>
        <v>Hubli</v>
      </c>
      <c r="V412" t="str">
        <f t="shared" si="53"/>
        <v>Sugarcane</v>
      </c>
      <c r="W412" t="str">
        <f t="shared" si="54"/>
        <v>Vermicompost</v>
      </c>
      <c r="X412" t="str">
        <f t="shared" si="55"/>
        <v>Cash</v>
      </c>
    </row>
    <row r="413" spans="1:24" x14ac:dyDescent="0.25">
      <c r="A413" t="s">
        <v>478</v>
      </c>
      <c r="B413" s="1">
        <v>42444</v>
      </c>
      <c r="C413">
        <v>2015</v>
      </c>
      <c r="D413" t="s">
        <v>17</v>
      </c>
      <c r="E413" t="s">
        <v>18</v>
      </c>
      <c r="F413" t="s">
        <v>38</v>
      </c>
      <c r="G413" t="s">
        <v>27</v>
      </c>
      <c r="H413">
        <v>53.62</v>
      </c>
      <c r="I413">
        <v>113.59</v>
      </c>
      <c r="J413">
        <v>2118.5</v>
      </c>
      <c r="K413" t="s">
        <v>28</v>
      </c>
      <c r="L413" t="s">
        <v>49</v>
      </c>
      <c r="M413">
        <v>190.17</v>
      </c>
      <c r="N413">
        <v>912.47</v>
      </c>
      <c r="O413" t="s">
        <v>23</v>
      </c>
      <c r="P413">
        <v>23.71</v>
      </c>
      <c r="Q413" t="str">
        <f t="shared" si="48"/>
        <v>2016-03</v>
      </c>
      <c r="R413">
        <f t="shared" si="49"/>
        <v>857.32785657918703</v>
      </c>
      <c r="S413">
        <f t="shared" si="50"/>
        <v>4.5082182078097865</v>
      </c>
      <c r="T413" t="str">
        <f t="shared" si="51"/>
        <v>Uttar Pradesh</v>
      </c>
      <c r="U413" t="str">
        <f t="shared" si="52"/>
        <v>Lucknow</v>
      </c>
      <c r="V413" t="str">
        <f t="shared" si="53"/>
        <v>Pulses</v>
      </c>
      <c r="W413" t="str">
        <f t="shared" si="54"/>
        <v>Npk</v>
      </c>
      <c r="X413" t="str">
        <f t="shared" si="55"/>
        <v>Food</v>
      </c>
    </row>
    <row r="414" spans="1:24" x14ac:dyDescent="0.25">
      <c r="A414" t="s">
        <v>479</v>
      </c>
      <c r="B414" s="1">
        <v>42464</v>
      </c>
      <c r="C414">
        <v>2016</v>
      </c>
      <c r="D414" t="s">
        <v>31</v>
      </c>
      <c r="E414" t="s">
        <v>32</v>
      </c>
      <c r="F414" t="s">
        <v>19</v>
      </c>
      <c r="G414" t="s">
        <v>56</v>
      </c>
      <c r="H414">
        <v>2.82</v>
      </c>
      <c r="I414">
        <v>14.4</v>
      </c>
      <c r="J414">
        <v>5105.87</v>
      </c>
      <c r="K414" t="s">
        <v>34</v>
      </c>
      <c r="L414" t="s">
        <v>49</v>
      </c>
      <c r="M414">
        <v>206.31</v>
      </c>
      <c r="N414">
        <v>436.2</v>
      </c>
      <c r="O414" t="s">
        <v>61</v>
      </c>
      <c r="P414">
        <v>24.14</v>
      </c>
      <c r="Q414" t="str">
        <f t="shared" si="48"/>
        <v>2016-04</v>
      </c>
      <c r="R414">
        <f t="shared" si="49"/>
        <v>2066.2754699419274</v>
      </c>
      <c r="S414">
        <f t="shared" si="50"/>
        <v>10.015391740303075</v>
      </c>
      <c r="T414" t="str">
        <f t="shared" si="51"/>
        <v>Maharashtra</v>
      </c>
      <c r="U414" t="str">
        <f t="shared" si="52"/>
        <v>Pune</v>
      </c>
      <c r="V414" t="str">
        <f t="shared" si="53"/>
        <v>Rice</v>
      </c>
      <c r="W414" t="str">
        <f t="shared" si="54"/>
        <v>Npk</v>
      </c>
      <c r="X414" t="str">
        <f t="shared" si="55"/>
        <v>Food</v>
      </c>
    </row>
    <row r="415" spans="1:24" x14ac:dyDescent="0.25">
      <c r="A415" t="s">
        <v>480</v>
      </c>
      <c r="B415" s="1">
        <v>43463</v>
      </c>
      <c r="C415">
        <v>2018</v>
      </c>
      <c r="D415" t="s">
        <v>36</v>
      </c>
      <c r="E415" t="s">
        <v>37</v>
      </c>
      <c r="F415" t="s">
        <v>38</v>
      </c>
      <c r="G415" t="s">
        <v>56</v>
      </c>
      <c r="H415">
        <v>16.02</v>
      </c>
      <c r="I415">
        <v>102.26</v>
      </c>
      <c r="J415">
        <v>6383.05</v>
      </c>
      <c r="K415" t="s">
        <v>40</v>
      </c>
      <c r="L415" t="s">
        <v>29</v>
      </c>
      <c r="M415">
        <v>71.95</v>
      </c>
      <c r="N415">
        <v>582.21</v>
      </c>
      <c r="O415" t="s">
        <v>61</v>
      </c>
      <c r="P415">
        <v>33.090000000000003</v>
      </c>
      <c r="Q415" t="str">
        <f t="shared" si="48"/>
        <v>2018-12</v>
      </c>
      <c r="R415">
        <f t="shared" si="49"/>
        <v>2583.1326763926268</v>
      </c>
      <c r="S415">
        <f t="shared" si="50"/>
        <v>35.901774515533383</v>
      </c>
      <c r="T415" t="str">
        <f t="shared" si="51"/>
        <v>Karnataka</v>
      </c>
      <c r="U415" t="str">
        <f t="shared" si="52"/>
        <v>Bangalore</v>
      </c>
      <c r="V415" t="str">
        <f t="shared" si="53"/>
        <v>Rice</v>
      </c>
      <c r="W415" t="str">
        <f t="shared" si="54"/>
        <v>Compost</v>
      </c>
      <c r="X415" t="str">
        <f t="shared" si="55"/>
        <v>Food</v>
      </c>
    </row>
    <row r="416" spans="1:24" x14ac:dyDescent="0.25">
      <c r="A416" t="s">
        <v>481</v>
      </c>
      <c r="B416" s="1">
        <v>41265</v>
      </c>
      <c r="C416">
        <v>2012</v>
      </c>
      <c r="D416" t="s">
        <v>103</v>
      </c>
      <c r="E416" t="s">
        <v>228</v>
      </c>
      <c r="F416" t="s">
        <v>38</v>
      </c>
      <c r="G416" t="s">
        <v>20</v>
      </c>
      <c r="H416">
        <v>91.06</v>
      </c>
      <c r="I416">
        <v>270.97000000000003</v>
      </c>
      <c r="J416">
        <v>2975.71</v>
      </c>
      <c r="K416" t="s">
        <v>40</v>
      </c>
      <c r="L416" t="s">
        <v>41</v>
      </c>
      <c r="M416">
        <v>101.69</v>
      </c>
      <c r="N416">
        <v>338.58</v>
      </c>
      <c r="O416" t="s">
        <v>61</v>
      </c>
      <c r="P416">
        <v>30.26</v>
      </c>
      <c r="Q416" t="str">
        <f t="shared" si="48"/>
        <v>2012-12</v>
      </c>
      <c r="R416">
        <f t="shared" si="49"/>
        <v>1204.2289714898525</v>
      </c>
      <c r="S416">
        <f t="shared" si="50"/>
        <v>11.842157257250983</v>
      </c>
      <c r="T416" t="str">
        <f t="shared" si="51"/>
        <v>Haryana</v>
      </c>
      <c r="U416" t="str">
        <f t="shared" si="52"/>
        <v>Hisar</v>
      </c>
      <c r="V416" t="str">
        <f t="shared" si="53"/>
        <v>Maize</v>
      </c>
      <c r="W416" t="str">
        <f t="shared" si="54"/>
        <v>Dap</v>
      </c>
      <c r="X416" t="str">
        <f t="shared" si="55"/>
        <v>Food</v>
      </c>
    </row>
    <row r="417" spans="1:24" x14ac:dyDescent="0.25">
      <c r="A417" t="s">
        <v>482</v>
      </c>
      <c r="B417" s="1">
        <v>44322</v>
      </c>
      <c r="C417">
        <v>2021</v>
      </c>
      <c r="D417" t="s">
        <v>31</v>
      </c>
      <c r="E417" t="s">
        <v>117</v>
      </c>
      <c r="F417" t="s">
        <v>19</v>
      </c>
      <c r="G417" t="s">
        <v>56</v>
      </c>
      <c r="H417">
        <v>43.58</v>
      </c>
      <c r="I417">
        <v>281.27</v>
      </c>
      <c r="J417">
        <v>6454.01</v>
      </c>
      <c r="K417" t="s">
        <v>40</v>
      </c>
      <c r="L417" t="s">
        <v>47</v>
      </c>
      <c r="M417">
        <v>214.06</v>
      </c>
      <c r="N417">
        <v>764.84</v>
      </c>
      <c r="O417" t="s">
        <v>42</v>
      </c>
      <c r="P417">
        <v>24.76</v>
      </c>
      <c r="Q417" t="str">
        <f t="shared" si="48"/>
        <v>2021-05</v>
      </c>
      <c r="R417">
        <f t="shared" si="49"/>
        <v>2611.8492138969264</v>
      </c>
      <c r="S417">
        <f t="shared" si="50"/>
        <v>12.201481892445699</v>
      </c>
      <c r="T417" t="str">
        <f t="shared" si="51"/>
        <v>Maharashtra</v>
      </c>
      <c r="U417" t="str">
        <f t="shared" si="52"/>
        <v>Mumbai</v>
      </c>
      <c r="V417" t="str">
        <f t="shared" si="53"/>
        <v>Rice</v>
      </c>
      <c r="W417" t="str">
        <f t="shared" si="54"/>
        <v>Vermicompost</v>
      </c>
      <c r="X417" t="str">
        <f t="shared" si="55"/>
        <v>Food</v>
      </c>
    </row>
    <row r="418" spans="1:24" x14ac:dyDescent="0.25">
      <c r="A418" t="s">
        <v>483</v>
      </c>
      <c r="B418" s="1">
        <v>41262</v>
      </c>
      <c r="C418">
        <v>2012</v>
      </c>
      <c r="D418" t="s">
        <v>17</v>
      </c>
      <c r="E418" t="s">
        <v>18</v>
      </c>
      <c r="F418" t="s">
        <v>38</v>
      </c>
      <c r="G418" t="s">
        <v>56</v>
      </c>
      <c r="H418">
        <v>72.98</v>
      </c>
      <c r="I418">
        <v>408.15</v>
      </c>
      <c r="J418">
        <v>5592.61</v>
      </c>
      <c r="K418" t="s">
        <v>28</v>
      </c>
      <c r="L418" t="s">
        <v>22</v>
      </c>
      <c r="M418">
        <v>290.3</v>
      </c>
      <c r="N418">
        <v>503.35</v>
      </c>
      <c r="O418" t="s">
        <v>70</v>
      </c>
      <c r="P418">
        <v>22.28</v>
      </c>
      <c r="Q418" t="str">
        <f t="shared" si="48"/>
        <v>2012-12</v>
      </c>
      <c r="R418">
        <f t="shared" si="49"/>
        <v>2263.25246352765</v>
      </c>
      <c r="S418">
        <f t="shared" si="50"/>
        <v>7.7962537496646567</v>
      </c>
      <c r="T418" t="str">
        <f t="shared" si="51"/>
        <v>Uttar Pradesh</v>
      </c>
      <c r="U418" t="str">
        <f t="shared" si="52"/>
        <v>Lucknow</v>
      </c>
      <c r="V418" t="str">
        <f t="shared" si="53"/>
        <v>Rice</v>
      </c>
      <c r="W418" t="str">
        <f t="shared" si="54"/>
        <v>Urea</v>
      </c>
      <c r="X418" t="str">
        <f t="shared" si="55"/>
        <v>Food</v>
      </c>
    </row>
    <row r="419" spans="1:24" x14ac:dyDescent="0.25">
      <c r="A419" t="s">
        <v>484</v>
      </c>
      <c r="B419" s="1">
        <v>40313</v>
      </c>
      <c r="C419">
        <v>2010</v>
      </c>
      <c r="D419" t="s">
        <v>103</v>
      </c>
      <c r="E419" t="s">
        <v>104</v>
      </c>
      <c r="F419" t="s">
        <v>19</v>
      </c>
      <c r="G419" t="s">
        <v>27</v>
      </c>
      <c r="H419">
        <v>27.42</v>
      </c>
      <c r="I419">
        <v>120.71</v>
      </c>
      <c r="J419">
        <v>4402.26</v>
      </c>
      <c r="K419" t="s">
        <v>40</v>
      </c>
      <c r="L419" t="s">
        <v>29</v>
      </c>
      <c r="M419">
        <v>199.09</v>
      </c>
      <c r="N419">
        <v>430.91</v>
      </c>
      <c r="O419" t="s">
        <v>23</v>
      </c>
      <c r="P419">
        <v>25.39</v>
      </c>
      <c r="Q419" t="str">
        <f t="shared" si="48"/>
        <v>2010-05</v>
      </c>
      <c r="R419">
        <f t="shared" si="49"/>
        <v>1781.5341656380892</v>
      </c>
      <c r="S419">
        <f t="shared" si="50"/>
        <v>8.9483859844195557</v>
      </c>
      <c r="T419" t="str">
        <f t="shared" si="51"/>
        <v>Haryana</v>
      </c>
      <c r="U419" t="str">
        <f t="shared" si="52"/>
        <v>Gurgaon</v>
      </c>
      <c r="V419" t="str">
        <f t="shared" si="53"/>
        <v>Pulses</v>
      </c>
      <c r="W419" t="str">
        <f t="shared" si="54"/>
        <v>Compost</v>
      </c>
      <c r="X419" t="str">
        <f t="shared" si="55"/>
        <v>Food</v>
      </c>
    </row>
    <row r="420" spans="1:24" x14ac:dyDescent="0.25">
      <c r="A420" t="s">
        <v>485</v>
      </c>
      <c r="B420" s="1">
        <v>43874</v>
      </c>
      <c r="C420">
        <v>2019</v>
      </c>
      <c r="D420" t="s">
        <v>103</v>
      </c>
      <c r="E420" t="s">
        <v>228</v>
      </c>
      <c r="F420" t="s">
        <v>38</v>
      </c>
      <c r="G420" t="s">
        <v>39</v>
      </c>
      <c r="H420">
        <v>65.31</v>
      </c>
      <c r="I420">
        <v>137.4</v>
      </c>
      <c r="J420">
        <v>2103.86</v>
      </c>
      <c r="K420" t="s">
        <v>28</v>
      </c>
      <c r="L420" t="s">
        <v>22</v>
      </c>
      <c r="M420">
        <v>172.86</v>
      </c>
      <c r="N420">
        <v>337.51</v>
      </c>
      <c r="O420" t="s">
        <v>42</v>
      </c>
      <c r="P420">
        <v>23.39</v>
      </c>
      <c r="Q420" t="str">
        <f t="shared" si="48"/>
        <v>2020-02</v>
      </c>
      <c r="R420">
        <f t="shared" si="49"/>
        <v>851.40324963072385</v>
      </c>
      <c r="S420">
        <f t="shared" si="50"/>
        <v>4.9253919335342111</v>
      </c>
      <c r="T420" t="str">
        <f t="shared" si="51"/>
        <v>Haryana</v>
      </c>
      <c r="U420" t="str">
        <f t="shared" si="52"/>
        <v>Hisar</v>
      </c>
      <c r="V420" t="str">
        <f t="shared" si="53"/>
        <v>Cotton</v>
      </c>
      <c r="W420" t="str">
        <f t="shared" si="54"/>
        <v>Urea</v>
      </c>
      <c r="X420" t="str">
        <f t="shared" si="55"/>
        <v>Cash</v>
      </c>
    </row>
    <row r="421" spans="1:24" x14ac:dyDescent="0.25">
      <c r="A421" t="s">
        <v>486</v>
      </c>
      <c r="B421" s="1">
        <v>41396</v>
      </c>
      <c r="C421">
        <v>2013</v>
      </c>
      <c r="D421" t="s">
        <v>31</v>
      </c>
      <c r="E421" t="s">
        <v>32</v>
      </c>
      <c r="F421" t="s">
        <v>19</v>
      </c>
      <c r="G421" t="s">
        <v>39</v>
      </c>
      <c r="H421">
        <v>98.84</v>
      </c>
      <c r="I421">
        <v>548.23</v>
      </c>
      <c r="J421">
        <v>5546.66</v>
      </c>
      <c r="K421" t="s">
        <v>21</v>
      </c>
      <c r="L421" t="s">
        <v>49</v>
      </c>
      <c r="M421">
        <v>94.27</v>
      </c>
      <c r="N421">
        <v>1154.7</v>
      </c>
      <c r="O421" t="s">
        <v>52</v>
      </c>
      <c r="P421">
        <v>33.01</v>
      </c>
      <c r="Q421" t="str">
        <f t="shared" si="48"/>
        <v>2013-05</v>
      </c>
      <c r="R421">
        <f t="shared" si="49"/>
        <v>2244.6571295603085</v>
      </c>
      <c r="S421">
        <f t="shared" si="50"/>
        <v>23.810938045616936</v>
      </c>
      <c r="T421" t="str">
        <f t="shared" si="51"/>
        <v>Maharashtra</v>
      </c>
      <c r="U421" t="str">
        <f t="shared" si="52"/>
        <v>Pune</v>
      </c>
      <c r="V421" t="str">
        <f t="shared" si="53"/>
        <v>Cotton</v>
      </c>
      <c r="W421" t="str">
        <f t="shared" si="54"/>
        <v>Npk</v>
      </c>
      <c r="X421" t="str">
        <f t="shared" si="55"/>
        <v>Cash</v>
      </c>
    </row>
    <row r="422" spans="1:24" x14ac:dyDescent="0.25">
      <c r="A422" t="s">
        <v>487</v>
      </c>
      <c r="B422" s="1">
        <v>41713</v>
      </c>
      <c r="C422">
        <v>2013</v>
      </c>
      <c r="D422" t="s">
        <v>44</v>
      </c>
      <c r="E422" t="s">
        <v>99</v>
      </c>
      <c r="F422" t="s">
        <v>38</v>
      </c>
      <c r="G422" t="s">
        <v>46</v>
      </c>
      <c r="H422">
        <v>77.849999999999994</v>
      </c>
      <c r="I422">
        <v>361.81</v>
      </c>
      <c r="J422">
        <v>4647.58</v>
      </c>
      <c r="K422" t="s">
        <v>28</v>
      </c>
      <c r="L422" t="s">
        <v>22</v>
      </c>
      <c r="M422">
        <v>230.05</v>
      </c>
      <c r="N422">
        <v>594.15</v>
      </c>
      <c r="O422" t="s">
        <v>61</v>
      </c>
      <c r="P422">
        <v>28.91</v>
      </c>
      <c r="Q422" t="str">
        <f t="shared" si="48"/>
        <v>2014-03</v>
      </c>
      <c r="R422">
        <f t="shared" si="49"/>
        <v>1880.8118006515449</v>
      </c>
      <c r="S422">
        <f t="shared" si="50"/>
        <v>8.1756652929865012</v>
      </c>
      <c r="T422" t="str">
        <f t="shared" si="51"/>
        <v>West Bengal</v>
      </c>
      <c r="U422" t="str">
        <f t="shared" si="52"/>
        <v>Howrah</v>
      </c>
      <c r="V422" t="str">
        <f t="shared" si="53"/>
        <v>Sugarcane</v>
      </c>
      <c r="W422" t="str">
        <f t="shared" si="54"/>
        <v>Urea</v>
      </c>
      <c r="X422" t="str">
        <f t="shared" si="55"/>
        <v>Cash</v>
      </c>
    </row>
    <row r="423" spans="1:24" x14ac:dyDescent="0.25">
      <c r="A423" t="s">
        <v>488</v>
      </c>
      <c r="B423" s="1">
        <v>43052</v>
      </c>
      <c r="C423">
        <v>2017</v>
      </c>
      <c r="D423" t="s">
        <v>59</v>
      </c>
      <c r="E423" t="s">
        <v>60</v>
      </c>
      <c r="F423" t="s">
        <v>38</v>
      </c>
      <c r="G423" t="s">
        <v>64</v>
      </c>
      <c r="H423">
        <v>87.9</v>
      </c>
      <c r="I423">
        <v>217.49</v>
      </c>
      <c r="J423">
        <v>2474.33</v>
      </c>
      <c r="K423" t="s">
        <v>28</v>
      </c>
      <c r="L423" t="s">
        <v>41</v>
      </c>
      <c r="M423">
        <v>295.95999999999998</v>
      </c>
      <c r="N423">
        <v>239.25</v>
      </c>
      <c r="O423" t="s">
        <v>52</v>
      </c>
      <c r="P423">
        <v>27.74</v>
      </c>
      <c r="Q423" t="str">
        <f t="shared" si="48"/>
        <v>2017-11</v>
      </c>
      <c r="R423">
        <f t="shared" si="49"/>
        <v>1001.3273709556667</v>
      </c>
      <c r="S423">
        <f t="shared" si="50"/>
        <v>3.3833199451130787</v>
      </c>
      <c r="T423" t="str">
        <f t="shared" si="51"/>
        <v>Bihar</v>
      </c>
      <c r="U423" t="str">
        <f t="shared" si="52"/>
        <v>Patna</v>
      </c>
      <c r="V423" t="str">
        <f t="shared" si="53"/>
        <v>Wheat</v>
      </c>
      <c r="W423" t="str">
        <f t="shared" si="54"/>
        <v>Dap</v>
      </c>
      <c r="X423" t="str">
        <f t="shared" si="55"/>
        <v>Food</v>
      </c>
    </row>
    <row r="424" spans="1:24" x14ac:dyDescent="0.25">
      <c r="A424" t="s">
        <v>489</v>
      </c>
      <c r="B424" s="1">
        <v>42790</v>
      </c>
      <c r="C424">
        <v>2016</v>
      </c>
      <c r="D424" t="s">
        <v>31</v>
      </c>
      <c r="E424" t="s">
        <v>32</v>
      </c>
      <c r="F424" t="s">
        <v>38</v>
      </c>
      <c r="G424" t="s">
        <v>20</v>
      </c>
      <c r="H424">
        <v>46.67</v>
      </c>
      <c r="I424">
        <v>164.97</v>
      </c>
      <c r="J424">
        <v>3534.77</v>
      </c>
      <c r="K424" t="s">
        <v>21</v>
      </c>
      <c r="L424" t="s">
        <v>22</v>
      </c>
      <c r="M424">
        <v>222.49</v>
      </c>
      <c r="N424">
        <v>1103.68</v>
      </c>
      <c r="O424" t="s">
        <v>52</v>
      </c>
      <c r="P424">
        <v>32.450000000000003</v>
      </c>
      <c r="Q424" t="str">
        <f t="shared" si="48"/>
        <v>2017-02</v>
      </c>
      <c r="R424">
        <f t="shared" si="49"/>
        <v>1430.4728759029563</v>
      </c>
      <c r="S424">
        <f t="shared" si="50"/>
        <v>6.4293805380149953</v>
      </c>
      <c r="T424" t="str">
        <f t="shared" si="51"/>
        <v>Maharashtra</v>
      </c>
      <c r="U424" t="str">
        <f t="shared" si="52"/>
        <v>Pune</v>
      </c>
      <c r="V424" t="str">
        <f t="shared" si="53"/>
        <v>Maize</v>
      </c>
      <c r="W424" t="str">
        <f t="shared" si="54"/>
        <v>Urea</v>
      </c>
      <c r="X424" t="str">
        <f t="shared" si="55"/>
        <v>Food</v>
      </c>
    </row>
    <row r="425" spans="1:24" x14ac:dyDescent="0.25">
      <c r="A425" t="s">
        <v>490</v>
      </c>
      <c r="B425" s="1">
        <v>40846</v>
      </c>
      <c r="C425">
        <v>2011</v>
      </c>
      <c r="D425" t="s">
        <v>17</v>
      </c>
      <c r="E425" t="s">
        <v>54</v>
      </c>
      <c r="F425" t="s">
        <v>33</v>
      </c>
      <c r="G425" t="s">
        <v>27</v>
      </c>
      <c r="H425">
        <v>93.85</v>
      </c>
      <c r="I425">
        <v>485.83</v>
      </c>
      <c r="J425">
        <v>5176.68</v>
      </c>
      <c r="K425" t="s">
        <v>40</v>
      </c>
      <c r="L425" t="s">
        <v>41</v>
      </c>
      <c r="M425">
        <v>148.27000000000001</v>
      </c>
      <c r="N425">
        <v>523.46</v>
      </c>
      <c r="O425" t="s">
        <v>23</v>
      </c>
      <c r="P425">
        <v>22.68</v>
      </c>
      <c r="Q425" t="str">
        <f t="shared" si="48"/>
        <v>2011-10</v>
      </c>
      <c r="R425">
        <f t="shared" si="49"/>
        <v>2094.9313045061817</v>
      </c>
      <c r="S425">
        <f t="shared" si="50"/>
        <v>14.129165067148996</v>
      </c>
      <c r="T425" t="str">
        <f t="shared" si="51"/>
        <v>Uttar Pradesh</v>
      </c>
      <c r="U425" t="str">
        <f t="shared" si="52"/>
        <v>Varanasi</v>
      </c>
      <c r="V425" t="str">
        <f t="shared" si="53"/>
        <v>Pulses</v>
      </c>
      <c r="W425" t="str">
        <f t="shared" si="54"/>
        <v>Dap</v>
      </c>
      <c r="X425" t="str">
        <f t="shared" si="55"/>
        <v>Food</v>
      </c>
    </row>
    <row r="426" spans="1:24" x14ac:dyDescent="0.25">
      <c r="A426" t="s">
        <v>491</v>
      </c>
      <c r="B426" s="1">
        <v>42036</v>
      </c>
      <c r="C426">
        <v>2014</v>
      </c>
      <c r="D426" t="s">
        <v>36</v>
      </c>
      <c r="E426" t="s">
        <v>37</v>
      </c>
      <c r="F426" t="s">
        <v>38</v>
      </c>
      <c r="G426" t="s">
        <v>39</v>
      </c>
      <c r="H426">
        <v>65.209999999999994</v>
      </c>
      <c r="I426">
        <v>343.58</v>
      </c>
      <c r="J426">
        <v>5268.82</v>
      </c>
      <c r="K426" t="s">
        <v>40</v>
      </c>
      <c r="L426" t="s">
        <v>22</v>
      </c>
      <c r="M426">
        <v>229.59</v>
      </c>
      <c r="N426">
        <v>323.54000000000002</v>
      </c>
      <c r="O426" t="s">
        <v>23</v>
      </c>
      <c r="P426">
        <v>30.59</v>
      </c>
      <c r="Q426" t="str">
        <f t="shared" si="48"/>
        <v>2015-02</v>
      </c>
      <c r="R426">
        <f t="shared" si="49"/>
        <v>2132.2190971449381</v>
      </c>
      <c r="S426">
        <f t="shared" si="50"/>
        <v>9.2870730308155327</v>
      </c>
      <c r="T426" t="str">
        <f t="shared" si="51"/>
        <v>Karnataka</v>
      </c>
      <c r="U426" t="str">
        <f t="shared" si="52"/>
        <v>Bangalore</v>
      </c>
      <c r="V426" t="str">
        <f t="shared" si="53"/>
        <v>Cotton</v>
      </c>
      <c r="W426" t="str">
        <f t="shared" si="54"/>
        <v>Urea</v>
      </c>
      <c r="X426" t="str">
        <f t="shared" si="55"/>
        <v>Cash</v>
      </c>
    </row>
    <row r="427" spans="1:24" x14ac:dyDescent="0.25">
      <c r="A427" t="s">
        <v>492</v>
      </c>
      <c r="B427" s="1">
        <v>42503</v>
      </c>
      <c r="C427">
        <v>2016</v>
      </c>
      <c r="D427" t="s">
        <v>59</v>
      </c>
      <c r="E427" t="s">
        <v>93</v>
      </c>
      <c r="F427" t="s">
        <v>19</v>
      </c>
      <c r="G427" t="s">
        <v>27</v>
      </c>
      <c r="H427">
        <v>61.6</v>
      </c>
      <c r="I427">
        <v>120.7</v>
      </c>
      <c r="J427">
        <v>1959.4</v>
      </c>
      <c r="K427" t="s">
        <v>28</v>
      </c>
      <c r="L427" t="s">
        <v>41</v>
      </c>
      <c r="M427">
        <v>60.98</v>
      </c>
      <c r="N427">
        <v>370.88</v>
      </c>
      <c r="O427" t="s">
        <v>70</v>
      </c>
      <c r="P427">
        <v>28.48</v>
      </c>
      <c r="Q427" t="str">
        <f t="shared" si="48"/>
        <v>2016-05</v>
      </c>
      <c r="R427">
        <f t="shared" si="49"/>
        <v>792.9422715040165</v>
      </c>
      <c r="S427">
        <f t="shared" si="50"/>
        <v>13.003317013840874</v>
      </c>
      <c r="T427" t="str">
        <f t="shared" si="51"/>
        <v>Bihar</v>
      </c>
      <c r="U427" t="str">
        <f t="shared" si="52"/>
        <v>Bhagalpur</v>
      </c>
      <c r="V427" t="str">
        <f t="shared" si="53"/>
        <v>Pulses</v>
      </c>
      <c r="W427" t="str">
        <f t="shared" si="54"/>
        <v>Dap</v>
      </c>
      <c r="X427" t="str">
        <f t="shared" si="55"/>
        <v>Food</v>
      </c>
    </row>
    <row r="428" spans="1:24" x14ac:dyDescent="0.25">
      <c r="A428" t="s">
        <v>493</v>
      </c>
      <c r="B428" s="1">
        <v>41000</v>
      </c>
      <c r="C428">
        <v>2012</v>
      </c>
      <c r="D428" t="s">
        <v>103</v>
      </c>
      <c r="E428" t="s">
        <v>104</v>
      </c>
      <c r="F428" t="s">
        <v>19</v>
      </c>
      <c r="G428" t="s">
        <v>64</v>
      </c>
      <c r="H428">
        <v>42.54</v>
      </c>
      <c r="I428">
        <v>121.54</v>
      </c>
      <c r="J428">
        <v>2857.11</v>
      </c>
      <c r="K428" t="s">
        <v>28</v>
      </c>
      <c r="L428" t="s">
        <v>47</v>
      </c>
      <c r="M428">
        <v>122.2</v>
      </c>
      <c r="N428">
        <v>380.7</v>
      </c>
      <c r="O428" t="s">
        <v>42</v>
      </c>
      <c r="P428">
        <v>34.409999999999997</v>
      </c>
      <c r="Q428" t="str">
        <f t="shared" si="48"/>
        <v>2012-04</v>
      </c>
      <c r="R428">
        <f t="shared" si="49"/>
        <v>1156.2331802270292</v>
      </c>
      <c r="S428">
        <f t="shared" si="50"/>
        <v>9.4618099854912359</v>
      </c>
      <c r="T428" t="str">
        <f t="shared" si="51"/>
        <v>Haryana</v>
      </c>
      <c r="U428" t="str">
        <f t="shared" si="52"/>
        <v>Gurgaon</v>
      </c>
      <c r="V428" t="str">
        <f t="shared" si="53"/>
        <v>Wheat</v>
      </c>
      <c r="W428" t="str">
        <f t="shared" si="54"/>
        <v>Vermicompost</v>
      </c>
      <c r="X428" t="str">
        <f t="shared" si="55"/>
        <v>Food</v>
      </c>
    </row>
    <row r="429" spans="1:24" x14ac:dyDescent="0.25">
      <c r="A429" t="s">
        <v>494</v>
      </c>
      <c r="B429" s="1">
        <v>40604</v>
      </c>
      <c r="C429">
        <v>2010</v>
      </c>
      <c r="D429" t="s">
        <v>44</v>
      </c>
      <c r="E429" t="s">
        <v>99</v>
      </c>
      <c r="F429" t="s">
        <v>38</v>
      </c>
      <c r="G429" t="s">
        <v>46</v>
      </c>
      <c r="H429">
        <v>85.69</v>
      </c>
      <c r="I429">
        <v>365.13</v>
      </c>
      <c r="J429">
        <v>4261.01</v>
      </c>
      <c r="K429" t="s">
        <v>21</v>
      </c>
      <c r="L429" t="s">
        <v>29</v>
      </c>
      <c r="M429">
        <v>202</v>
      </c>
      <c r="N429">
        <v>693.47</v>
      </c>
      <c r="O429" t="s">
        <v>42</v>
      </c>
      <c r="P429">
        <v>28.83</v>
      </c>
      <c r="Q429" t="str">
        <f t="shared" si="48"/>
        <v>2011-03</v>
      </c>
      <c r="R429">
        <f t="shared" si="49"/>
        <v>1724.3722304283606</v>
      </c>
      <c r="S429">
        <f t="shared" si="50"/>
        <v>8.5364961902394096</v>
      </c>
      <c r="T429" t="str">
        <f t="shared" si="51"/>
        <v>West Bengal</v>
      </c>
      <c r="U429" t="str">
        <f t="shared" si="52"/>
        <v>Howrah</v>
      </c>
      <c r="V429" t="str">
        <f t="shared" si="53"/>
        <v>Sugarcane</v>
      </c>
      <c r="W429" t="str">
        <f t="shared" si="54"/>
        <v>Compost</v>
      </c>
      <c r="X429" t="str">
        <f t="shared" si="55"/>
        <v>Cash</v>
      </c>
    </row>
    <row r="430" spans="1:24" x14ac:dyDescent="0.25">
      <c r="A430" t="s">
        <v>495</v>
      </c>
      <c r="B430" s="1">
        <v>40643</v>
      </c>
      <c r="C430">
        <v>2011</v>
      </c>
      <c r="D430" t="s">
        <v>36</v>
      </c>
      <c r="E430" t="s">
        <v>51</v>
      </c>
      <c r="F430" t="s">
        <v>19</v>
      </c>
      <c r="G430" t="s">
        <v>27</v>
      </c>
      <c r="H430">
        <v>1.65</v>
      </c>
      <c r="I430">
        <v>10.38</v>
      </c>
      <c r="J430">
        <v>6293.01</v>
      </c>
      <c r="K430" t="s">
        <v>34</v>
      </c>
      <c r="L430" t="s">
        <v>22</v>
      </c>
      <c r="M430">
        <v>204.94</v>
      </c>
      <c r="N430">
        <v>757.55</v>
      </c>
      <c r="O430" t="s">
        <v>42</v>
      </c>
      <c r="P430">
        <v>20.73</v>
      </c>
      <c r="Q430" t="str">
        <f t="shared" si="48"/>
        <v>2011-04</v>
      </c>
      <c r="R430">
        <f t="shared" si="49"/>
        <v>2546.6947249145101</v>
      </c>
      <c r="S430">
        <f t="shared" si="50"/>
        <v>12.426538132694985</v>
      </c>
      <c r="T430" t="str">
        <f t="shared" si="51"/>
        <v>Karnataka</v>
      </c>
      <c r="U430" t="str">
        <f t="shared" si="52"/>
        <v>Mysore</v>
      </c>
      <c r="V430" t="str">
        <f t="shared" si="53"/>
        <v>Pulses</v>
      </c>
      <c r="W430" t="str">
        <f t="shared" si="54"/>
        <v>Urea</v>
      </c>
      <c r="X430" t="str">
        <f t="shared" si="55"/>
        <v>Food</v>
      </c>
    </row>
    <row r="431" spans="1:24" x14ac:dyDescent="0.25">
      <c r="A431" t="s">
        <v>496</v>
      </c>
      <c r="B431" s="1">
        <v>40375</v>
      </c>
      <c r="C431">
        <v>2010</v>
      </c>
      <c r="D431" t="s">
        <v>17</v>
      </c>
      <c r="E431" t="s">
        <v>72</v>
      </c>
      <c r="F431" t="s">
        <v>33</v>
      </c>
      <c r="G431" t="s">
        <v>64</v>
      </c>
      <c r="H431">
        <v>67.03</v>
      </c>
      <c r="I431">
        <v>404.06</v>
      </c>
      <c r="J431">
        <v>6028.09</v>
      </c>
      <c r="K431" t="s">
        <v>34</v>
      </c>
      <c r="L431" t="s">
        <v>41</v>
      </c>
      <c r="M431">
        <v>132.78</v>
      </c>
      <c r="N431">
        <v>287.7</v>
      </c>
      <c r="O431" t="s">
        <v>23</v>
      </c>
      <c r="P431">
        <v>26.25</v>
      </c>
      <c r="Q431" t="str">
        <f t="shared" si="48"/>
        <v>2010-07</v>
      </c>
      <c r="R431">
        <f t="shared" si="49"/>
        <v>2439.4852390684123</v>
      </c>
      <c r="S431">
        <f t="shared" si="50"/>
        <v>18.372384689474412</v>
      </c>
      <c r="T431" t="str">
        <f t="shared" si="51"/>
        <v>Uttar Pradesh</v>
      </c>
      <c r="U431" t="str">
        <f t="shared" si="52"/>
        <v>Kanpur</v>
      </c>
      <c r="V431" t="str">
        <f t="shared" si="53"/>
        <v>Wheat</v>
      </c>
      <c r="W431" t="str">
        <f t="shared" si="54"/>
        <v>Dap</v>
      </c>
      <c r="X431" t="str">
        <f t="shared" si="55"/>
        <v>Food</v>
      </c>
    </row>
    <row r="432" spans="1:24" x14ac:dyDescent="0.25">
      <c r="A432" t="s">
        <v>497</v>
      </c>
      <c r="B432" s="1">
        <v>43561</v>
      </c>
      <c r="C432">
        <v>2019</v>
      </c>
      <c r="D432" t="s">
        <v>17</v>
      </c>
      <c r="E432" t="s">
        <v>72</v>
      </c>
      <c r="F432" t="s">
        <v>19</v>
      </c>
      <c r="G432" t="s">
        <v>39</v>
      </c>
      <c r="H432">
        <v>70.28</v>
      </c>
      <c r="I432">
        <v>311.60000000000002</v>
      </c>
      <c r="J432">
        <v>4433.7</v>
      </c>
      <c r="K432" t="s">
        <v>40</v>
      </c>
      <c r="L432" t="s">
        <v>49</v>
      </c>
      <c r="M432">
        <v>291.57</v>
      </c>
      <c r="N432">
        <v>949.33</v>
      </c>
      <c r="O432" t="s">
        <v>70</v>
      </c>
      <c r="P432">
        <v>33.97</v>
      </c>
      <c r="Q432" t="str">
        <f t="shared" si="48"/>
        <v>2019-04</v>
      </c>
      <c r="R432">
        <f t="shared" si="49"/>
        <v>1794.2575018716739</v>
      </c>
      <c r="S432">
        <f t="shared" si="50"/>
        <v>6.1537795447805808</v>
      </c>
      <c r="T432" t="str">
        <f t="shared" si="51"/>
        <v>Uttar Pradesh</v>
      </c>
      <c r="U432" t="str">
        <f t="shared" si="52"/>
        <v>Kanpur</v>
      </c>
      <c r="V432" t="str">
        <f t="shared" si="53"/>
        <v>Cotton</v>
      </c>
      <c r="W432" t="str">
        <f t="shared" si="54"/>
        <v>Npk</v>
      </c>
      <c r="X432" t="str">
        <f t="shared" si="55"/>
        <v>Cash</v>
      </c>
    </row>
    <row r="433" spans="1:24" x14ac:dyDescent="0.25">
      <c r="A433" t="s">
        <v>498</v>
      </c>
      <c r="B433" s="1">
        <v>42627</v>
      </c>
      <c r="C433">
        <v>2016</v>
      </c>
      <c r="D433" t="s">
        <v>31</v>
      </c>
      <c r="E433" t="s">
        <v>32</v>
      </c>
      <c r="F433" t="s">
        <v>33</v>
      </c>
      <c r="G433" t="s">
        <v>46</v>
      </c>
      <c r="H433">
        <v>84.49</v>
      </c>
      <c r="I433">
        <v>117.4</v>
      </c>
      <c r="J433">
        <v>1389.56</v>
      </c>
      <c r="K433" t="s">
        <v>28</v>
      </c>
      <c r="L433" t="s">
        <v>47</v>
      </c>
      <c r="M433">
        <v>83.64</v>
      </c>
      <c r="N433">
        <v>894.62</v>
      </c>
      <c r="O433" t="s">
        <v>70</v>
      </c>
      <c r="P433">
        <v>24.94</v>
      </c>
      <c r="Q433" t="str">
        <f t="shared" si="48"/>
        <v>2016-09</v>
      </c>
      <c r="R433">
        <f t="shared" si="49"/>
        <v>562.33584913295965</v>
      </c>
      <c r="S433">
        <f t="shared" si="50"/>
        <v>6.7232884879598238</v>
      </c>
      <c r="T433" t="str">
        <f t="shared" si="51"/>
        <v>Maharashtra</v>
      </c>
      <c r="U433" t="str">
        <f t="shared" si="52"/>
        <v>Pune</v>
      </c>
      <c r="V433" t="str">
        <f t="shared" si="53"/>
        <v>Sugarcane</v>
      </c>
      <c r="W433" t="str">
        <f t="shared" si="54"/>
        <v>Vermicompost</v>
      </c>
      <c r="X433" t="str">
        <f t="shared" si="55"/>
        <v>Cash</v>
      </c>
    </row>
    <row r="434" spans="1:24" x14ac:dyDescent="0.25">
      <c r="A434" t="s">
        <v>499</v>
      </c>
      <c r="B434" s="1">
        <v>41419</v>
      </c>
      <c r="C434">
        <v>2013</v>
      </c>
      <c r="D434" t="s">
        <v>103</v>
      </c>
      <c r="E434" t="s">
        <v>228</v>
      </c>
      <c r="F434" t="s">
        <v>19</v>
      </c>
      <c r="G434" t="s">
        <v>64</v>
      </c>
      <c r="H434">
        <v>11.82</v>
      </c>
      <c r="I434">
        <v>63.57</v>
      </c>
      <c r="J434">
        <v>5378.37</v>
      </c>
      <c r="K434" t="s">
        <v>21</v>
      </c>
      <c r="L434" t="s">
        <v>49</v>
      </c>
      <c r="M434">
        <v>170.92</v>
      </c>
      <c r="N434">
        <v>888.65</v>
      </c>
      <c r="O434" t="s">
        <v>70</v>
      </c>
      <c r="P434">
        <v>26.41</v>
      </c>
      <c r="Q434" t="str">
        <f t="shared" si="48"/>
        <v>2013-05</v>
      </c>
      <c r="R434">
        <f t="shared" si="49"/>
        <v>2176.5524776916695</v>
      </c>
      <c r="S434">
        <f t="shared" si="50"/>
        <v>12.734334645984493</v>
      </c>
      <c r="T434" t="str">
        <f t="shared" si="51"/>
        <v>Haryana</v>
      </c>
      <c r="U434" t="str">
        <f t="shared" si="52"/>
        <v>Hisar</v>
      </c>
      <c r="V434" t="str">
        <f t="shared" si="53"/>
        <v>Wheat</v>
      </c>
      <c r="W434" t="str">
        <f t="shared" si="54"/>
        <v>Npk</v>
      </c>
      <c r="X434" t="str">
        <f t="shared" si="55"/>
        <v>Food</v>
      </c>
    </row>
    <row r="435" spans="1:24" x14ac:dyDescent="0.25">
      <c r="A435" t="s">
        <v>500</v>
      </c>
      <c r="B435" s="1">
        <v>43612</v>
      </c>
      <c r="C435">
        <v>2019</v>
      </c>
      <c r="D435" t="s">
        <v>31</v>
      </c>
      <c r="E435" t="s">
        <v>117</v>
      </c>
      <c r="F435" t="s">
        <v>19</v>
      </c>
      <c r="G435" t="s">
        <v>20</v>
      </c>
      <c r="H435">
        <v>92.78</v>
      </c>
      <c r="I435">
        <v>434.74</v>
      </c>
      <c r="J435">
        <v>4685.74</v>
      </c>
      <c r="K435" t="s">
        <v>28</v>
      </c>
      <c r="L435" t="s">
        <v>47</v>
      </c>
      <c r="M435">
        <v>179.93</v>
      </c>
      <c r="N435">
        <v>831.86</v>
      </c>
      <c r="O435" t="s">
        <v>52</v>
      </c>
      <c r="P435">
        <v>32.119999999999997</v>
      </c>
      <c r="Q435" t="str">
        <f t="shared" si="48"/>
        <v>2019-05</v>
      </c>
      <c r="R435">
        <f t="shared" si="49"/>
        <v>1896.2546285991784</v>
      </c>
      <c r="S435">
        <f t="shared" si="50"/>
        <v>10.538846376919793</v>
      </c>
      <c r="T435" t="str">
        <f t="shared" si="51"/>
        <v>Maharashtra</v>
      </c>
      <c r="U435" t="str">
        <f t="shared" si="52"/>
        <v>Mumbai</v>
      </c>
      <c r="V435" t="str">
        <f t="shared" si="53"/>
        <v>Maize</v>
      </c>
      <c r="W435" t="str">
        <f t="shared" si="54"/>
        <v>Vermicompost</v>
      </c>
      <c r="X435" t="str">
        <f t="shared" si="55"/>
        <v>Food</v>
      </c>
    </row>
    <row r="436" spans="1:24" x14ac:dyDescent="0.25">
      <c r="A436" t="s">
        <v>501</v>
      </c>
      <c r="B436" s="1">
        <v>41896</v>
      </c>
      <c r="C436">
        <v>2014</v>
      </c>
      <c r="D436" t="s">
        <v>103</v>
      </c>
      <c r="E436" t="s">
        <v>228</v>
      </c>
      <c r="F436" t="s">
        <v>33</v>
      </c>
      <c r="G436" t="s">
        <v>64</v>
      </c>
      <c r="H436">
        <v>12.7</v>
      </c>
      <c r="I436">
        <v>48.12</v>
      </c>
      <c r="J436">
        <v>3789.31</v>
      </c>
      <c r="K436" t="s">
        <v>21</v>
      </c>
      <c r="L436" t="s">
        <v>22</v>
      </c>
      <c r="M436">
        <v>234.37</v>
      </c>
      <c r="N436">
        <v>407.33</v>
      </c>
      <c r="O436" t="s">
        <v>61</v>
      </c>
      <c r="P436">
        <v>34.979999999999997</v>
      </c>
      <c r="Q436" t="str">
        <f t="shared" si="48"/>
        <v>2014-09</v>
      </c>
      <c r="R436">
        <f t="shared" si="49"/>
        <v>1533.4817182978895</v>
      </c>
      <c r="S436">
        <f t="shared" si="50"/>
        <v>6.5429949152958544</v>
      </c>
      <c r="T436" t="str">
        <f t="shared" si="51"/>
        <v>Haryana</v>
      </c>
      <c r="U436" t="str">
        <f t="shared" si="52"/>
        <v>Hisar</v>
      </c>
      <c r="V436" t="str">
        <f t="shared" si="53"/>
        <v>Wheat</v>
      </c>
      <c r="W436" t="str">
        <f t="shared" si="54"/>
        <v>Urea</v>
      </c>
      <c r="X436" t="str">
        <f t="shared" si="55"/>
        <v>Food</v>
      </c>
    </row>
    <row r="437" spans="1:24" x14ac:dyDescent="0.25">
      <c r="A437" t="s">
        <v>502</v>
      </c>
      <c r="B437" s="1">
        <v>43211</v>
      </c>
      <c r="C437">
        <v>2018</v>
      </c>
      <c r="D437" t="s">
        <v>31</v>
      </c>
      <c r="E437" t="s">
        <v>32</v>
      </c>
      <c r="F437" t="s">
        <v>19</v>
      </c>
      <c r="G437" t="s">
        <v>56</v>
      </c>
      <c r="H437">
        <v>2.12</v>
      </c>
      <c r="I437">
        <v>4.68</v>
      </c>
      <c r="J437">
        <v>2207.12</v>
      </c>
      <c r="K437" t="s">
        <v>34</v>
      </c>
      <c r="L437" t="s">
        <v>22</v>
      </c>
      <c r="M437">
        <v>113.6</v>
      </c>
      <c r="N437">
        <v>267.83999999999997</v>
      </c>
      <c r="O437" t="s">
        <v>70</v>
      </c>
      <c r="P437">
        <v>27.6</v>
      </c>
      <c r="Q437" t="str">
        <f t="shared" si="48"/>
        <v>2018-04</v>
      </c>
      <c r="R437">
        <f t="shared" si="49"/>
        <v>893.19115355820395</v>
      </c>
      <c r="S437">
        <f t="shared" si="50"/>
        <v>7.862598182730669</v>
      </c>
      <c r="T437" t="str">
        <f t="shared" si="51"/>
        <v>Maharashtra</v>
      </c>
      <c r="U437" t="str">
        <f t="shared" si="52"/>
        <v>Pune</v>
      </c>
      <c r="V437" t="str">
        <f t="shared" si="53"/>
        <v>Rice</v>
      </c>
      <c r="W437" t="str">
        <f t="shared" si="54"/>
        <v>Urea</v>
      </c>
      <c r="X437" t="str">
        <f t="shared" si="55"/>
        <v>Food</v>
      </c>
    </row>
    <row r="438" spans="1:24" x14ac:dyDescent="0.25">
      <c r="A438" t="s">
        <v>503</v>
      </c>
      <c r="B438" s="1">
        <v>42431</v>
      </c>
      <c r="C438">
        <v>2015</v>
      </c>
      <c r="D438" t="s">
        <v>25</v>
      </c>
      <c r="E438" t="s">
        <v>69</v>
      </c>
      <c r="F438" t="s">
        <v>38</v>
      </c>
      <c r="G438" t="s">
        <v>46</v>
      </c>
      <c r="H438">
        <v>72.72</v>
      </c>
      <c r="I438">
        <v>341.49</v>
      </c>
      <c r="J438">
        <v>4695.96</v>
      </c>
      <c r="K438" t="s">
        <v>21</v>
      </c>
      <c r="L438" t="s">
        <v>29</v>
      </c>
      <c r="M438">
        <v>258.01</v>
      </c>
      <c r="N438">
        <v>394.02</v>
      </c>
      <c r="O438" t="s">
        <v>70</v>
      </c>
      <c r="P438">
        <v>33.83</v>
      </c>
      <c r="Q438" t="str">
        <f t="shared" si="48"/>
        <v>2016-03</v>
      </c>
      <c r="R438">
        <f t="shared" si="49"/>
        <v>1900.3905222476276</v>
      </c>
      <c r="S438">
        <f t="shared" si="50"/>
        <v>7.3655692502136647</v>
      </c>
      <c r="T438" t="str">
        <f t="shared" si="51"/>
        <v>Punjab</v>
      </c>
      <c r="U438" t="str">
        <f t="shared" si="52"/>
        <v>Patiala</v>
      </c>
      <c r="V438" t="str">
        <f t="shared" si="53"/>
        <v>Sugarcane</v>
      </c>
      <c r="W438" t="str">
        <f t="shared" si="54"/>
        <v>Compost</v>
      </c>
      <c r="X438" t="str">
        <f t="shared" si="55"/>
        <v>Cash</v>
      </c>
    </row>
    <row r="439" spans="1:24" x14ac:dyDescent="0.25">
      <c r="A439" t="s">
        <v>504</v>
      </c>
      <c r="B439" s="1">
        <v>44059</v>
      </c>
      <c r="C439">
        <v>2020</v>
      </c>
      <c r="D439" t="s">
        <v>44</v>
      </c>
      <c r="E439" t="s">
        <v>45</v>
      </c>
      <c r="F439" t="s">
        <v>33</v>
      </c>
      <c r="G439" t="s">
        <v>46</v>
      </c>
      <c r="H439">
        <v>16.38</v>
      </c>
      <c r="I439">
        <v>61.65</v>
      </c>
      <c r="J439">
        <v>3763.71</v>
      </c>
      <c r="K439" t="s">
        <v>34</v>
      </c>
      <c r="L439" t="s">
        <v>47</v>
      </c>
      <c r="M439">
        <v>165.62</v>
      </c>
      <c r="N439">
        <v>1014.17</v>
      </c>
      <c r="O439" t="s">
        <v>23</v>
      </c>
      <c r="P439">
        <v>32.53</v>
      </c>
      <c r="Q439" t="str">
        <f t="shared" si="48"/>
        <v>2020-08</v>
      </c>
      <c r="R439">
        <f t="shared" si="49"/>
        <v>1523.1217498634185</v>
      </c>
      <c r="S439">
        <f t="shared" si="50"/>
        <v>9.1964844213465664</v>
      </c>
      <c r="T439" t="str">
        <f t="shared" si="51"/>
        <v>West Bengal</v>
      </c>
      <c r="U439" t="str">
        <f t="shared" si="52"/>
        <v>Kolkata</v>
      </c>
      <c r="V439" t="str">
        <f t="shared" si="53"/>
        <v>Sugarcane</v>
      </c>
      <c r="W439" t="str">
        <f t="shared" si="54"/>
        <v>Vermicompost</v>
      </c>
      <c r="X439" t="str">
        <f t="shared" si="55"/>
        <v>Cash</v>
      </c>
    </row>
    <row r="440" spans="1:24" x14ac:dyDescent="0.25">
      <c r="A440" t="s">
        <v>505</v>
      </c>
      <c r="B440" s="1">
        <v>42104</v>
      </c>
      <c r="C440">
        <v>2015</v>
      </c>
      <c r="D440" t="s">
        <v>17</v>
      </c>
      <c r="E440" t="s">
        <v>54</v>
      </c>
      <c r="F440" t="s">
        <v>19</v>
      </c>
      <c r="G440" t="s">
        <v>27</v>
      </c>
      <c r="H440">
        <v>2.85</v>
      </c>
      <c r="I440">
        <v>12.72</v>
      </c>
      <c r="J440">
        <v>4464.3900000000003</v>
      </c>
      <c r="K440" t="s">
        <v>34</v>
      </c>
      <c r="L440" t="s">
        <v>49</v>
      </c>
      <c r="M440">
        <v>249.88</v>
      </c>
      <c r="N440">
        <v>1088.03</v>
      </c>
      <c r="O440" t="s">
        <v>70</v>
      </c>
      <c r="P440">
        <v>20.99</v>
      </c>
      <c r="Q440" t="str">
        <f t="shared" si="48"/>
        <v>2015-04</v>
      </c>
      <c r="R440">
        <f t="shared" si="49"/>
        <v>1806.6773234050304</v>
      </c>
      <c r="S440">
        <f t="shared" si="50"/>
        <v>7.2301797799144802</v>
      </c>
      <c r="T440" t="str">
        <f t="shared" si="51"/>
        <v>Uttar Pradesh</v>
      </c>
      <c r="U440" t="str">
        <f t="shared" si="52"/>
        <v>Varanasi</v>
      </c>
      <c r="V440" t="str">
        <f t="shared" si="53"/>
        <v>Pulses</v>
      </c>
      <c r="W440" t="str">
        <f t="shared" si="54"/>
        <v>Npk</v>
      </c>
      <c r="X440" t="str">
        <f t="shared" si="55"/>
        <v>Food</v>
      </c>
    </row>
    <row r="441" spans="1:24" x14ac:dyDescent="0.25">
      <c r="A441" t="s">
        <v>506</v>
      </c>
      <c r="B441" s="1">
        <v>42389</v>
      </c>
      <c r="C441">
        <v>2015</v>
      </c>
      <c r="D441" t="s">
        <v>44</v>
      </c>
      <c r="E441" t="s">
        <v>45</v>
      </c>
      <c r="F441" t="s">
        <v>38</v>
      </c>
      <c r="G441" t="s">
        <v>39</v>
      </c>
      <c r="H441">
        <v>53.89</v>
      </c>
      <c r="I441">
        <v>107.55</v>
      </c>
      <c r="J441">
        <v>1995.82</v>
      </c>
      <c r="K441" t="s">
        <v>28</v>
      </c>
      <c r="L441" t="s">
        <v>22</v>
      </c>
      <c r="M441">
        <v>96.84</v>
      </c>
      <c r="N441">
        <v>316.83999999999997</v>
      </c>
      <c r="O441" t="s">
        <v>70</v>
      </c>
      <c r="P441">
        <v>30.58</v>
      </c>
      <c r="Q441" t="str">
        <f t="shared" si="48"/>
        <v>2016-01</v>
      </c>
      <c r="R441">
        <f t="shared" si="49"/>
        <v>807.68094534711963</v>
      </c>
      <c r="S441">
        <f t="shared" si="50"/>
        <v>8.3403649870623671</v>
      </c>
      <c r="T441" t="str">
        <f t="shared" si="51"/>
        <v>West Bengal</v>
      </c>
      <c r="U441" t="str">
        <f t="shared" si="52"/>
        <v>Kolkata</v>
      </c>
      <c r="V441" t="str">
        <f t="shared" si="53"/>
        <v>Cotton</v>
      </c>
      <c r="W441" t="str">
        <f t="shared" si="54"/>
        <v>Urea</v>
      </c>
      <c r="X441" t="str">
        <f t="shared" si="55"/>
        <v>Cash</v>
      </c>
    </row>
    <row r="442" spans="1:24" x14ac:dyDescent="0.25">
      <c r="A442" t="s">
        <v>507</v>
      </c>
      <c r="B442" s="1">
        <v>40857</v>
      </c>
      <c r="C442">
        <v>2011</v>
      </c>
      <c r="D442" t="s">
        <v>31</v>
      </c>
      <c r="E442" t="s">
        <v>32</v>
      </c>
      <c r="F442" t="s">
        <v>38</v>
      </c>
      <c r="G442" t="s">
        <v>56</v>
      </c>
      <c r="H442">
        <v>37.79</v>
      </c>
      <c r="I442">
        <v>225.86</v>
      </c>
      <c r="J442">
        <v>5976.74</v>
      </c>
      <c r="K442" t="s">
        <v>34</v>
      </c>
      <c r="L442" t="s">
        <v>41</v>
      </c>
      <c r="M442">
        <v>104.03</v>
      </c>
      <c r="N442">
        <v>502.32</v>
      </c>
      <c r="O442" t="s">
        <v>23</v>
      </c>
      <c r="P442">
        <v>25.61</v>
      </c>
      <c r="Q442" t="str">
        <f t="shared" si="48"/>
        <v>2011-11</v>
      </c>
      <c r="R442">
        <f t="shared" si="49"/>
        <v>2418.704599259424</v>
      </c>
      <c r="S442">
        <f t="shared" si="50"/>
        <v>23.250068242424529</v>
      </c>
      <c r="T442" t="str">
        <f t="shared" si="51"/>
        <v>Maharashtra</v>
      </c>
      <c r="U442" t="str">
        <f t="shared" si="52"/>
        <v>Pune</v>
      </c>
      <c r="V442" t="str">
        <f t="shared" si="53"/>
        <v>Rice</v>
      </c>
      <c r="W442" t="str">
        <f t="shared" si="54"/>
        <v>Dap</v>
      </c>
      <c r="X442" t="str">
        <f t="shared" si="55"/>
        <v>Food</v>
      </c>
    </row>
    <row r="443" spans="1:24" x14ac:dyDescent="0.25">
      <c r="A443" t="s">
        <v>508</v>
      </c>
      <c r="B443" s="1">
        <v>43335</v>
      </c>
      <c r="C443">
        <v>2018</v>
      </c>
      <c r="D443" t="s">
        <v>25</v>
      </c>
      <c r="E443" t="s">
        <v>87</v>
      </c>
      <c r="F443" t="s">
        <v>33</v>
      </c>
      <c r="G443" t="s">
        <v>46</v>
      </c>
      <c r="H443">
        <v>90.59</v>
      </c>
      <c r="I443">
        <v>174.34</v>
      </c>
      <c r="J443">
        <v>1924.47</v>
      </c>
      <c r="K443" t="s">
        <v>34</v>
      </c>
      <c r="L443" t="s">
        <v>41</v>
      </c>
      <c r="M443">
        <v>280.91000000000003</v>
      </c>
      <c r="N443">
        <v>932.44</v>
      </c>
      <c r="O443" t="s">
        <v>61</v>
      </c>
      <c r="P443">
        <v>24.66</v>
      </c>
      <c r="Q443" t="str">
        <f t="shared" si="48"/>
        <v>2018-08</v>
      </c>
      <c r="R443">
        <f t="shared" si="49"/>
        <v>778.806580198701</v>
      </c>
      <c r="S443">
        <f t="shared" si="50"/>
        <v>2.7724416368185572</v>
      </c>
      <c r="T443" t="str">
        <f t="shared" si="51"/>
        <v>Punjab</v>
      </c>
      <c r="U443" t="str">
        <f t="shared" si="52"/>
        <v>Amritsar</v>
      </c>
      <c r="V443" t="str">
        <f t="shared" si="53"/>
        <v>Sugarcane</v>
      </c>
      <c r="W443" t="str">
        <f t="shared" si="54"/>
        <v>Dap</v>
      </c>
      <c r="X443" t="str">
        <f t="shared" si="55"/>
        <v>Cash</v>
      </c>
    </row>
    <row r="444" spans="1:24" x14ac:dyDescent="0.25">
      <c r="A444" t="s">
        <v>509</v>
      </c>
      <c r="B444" s="1">
        <v>43193</v>
      </c>
      <c r="C444">
        <v>2018</v>
      </c>
      <c r="D444" t="s">
        <v>44</v>
      </c>
      <c r="E444" t="s">
        <v>45</v>
      </c>
      <c r="F444" t="s">
        <v>19</v>
      </c>
      <c r="G444" t="s">
        <v>56</v>
      </c>
      <c r="H444">
        <v>21.31</v>
      </c>
      <c r="I444">
        <v>25.98</v>
      </c>
      <c r="J444">
        <v>1219.32</v>
      </c>
      <c r="K444" t="s">
        <v>28</v>
      </c>
      <c r="L444" t="s">
        <v>47</v>
      </c>
      <c r="M444">
        <v>228.42</v>
      </c>
      <c r="N444">
        <v>722.34</v>
      </c>
      <c r="O444" t="s">
        <v>23</v>
      </c>
      <c r="P444">
        <v>24.66</v>
      </c>
      <c r="Q444" t="str">
        <f t="shared" si="48"/>
        <v>2018-04</v>
      </c>
      <c r="R444">
        <f t="shared" si="49"/>
        <v>493.44205904372632</v>
      </c>
      <c r="S444">
        <f t="shared" si="50"/>
        <v>2.1602401674272231</v>
      </c>
      <c r="T444" t="str">
        <f t="shared" si="51"/>
        <v>West Bengal</v>
      </c>
      <c r="U444" t="str">
        <f t="shared" si="52"/>
        <v>Kolkata</v>
      </c>
      <c r="V444" t="str">
        <f t="shared" si="53"/>
        <v>Rice</v>
      </c>
      <c r="W444" t="str">
        <f t="shared" si="54"/>
        <v>Vermicompost</v>
      </c>
      <c r="X444" t="str">
        <f t="shared" si="55"/>
        <v>Food</v>
      </c>
    </row>
    <row r="445" spans="1:24" x14ac:dyDescent="0.25">
      <c r="A445" t="s">
        <v>510</v>
      </c>
      <c r="B445" s="1">
        <v>42358</v>
      </c>
      <c r="C445">
        <v>2015</v>
      </c>
      <c r="D445" t="s">
        <v>44</v>
      </c>
      <c r="E445" t="s">
        <v>45</v>
      </c>
      <c r="F445" t="s">
        <v>38</v>
      </c>
      <c r="G445" t="s">
        <v>64</v>
      </c>
      <c r="H445">
        <v>11.21</v>
      </c>
      <c r="I445">
        <v>62.74</v>
      </c>
      <c r="J445">
        <v>5597.08</v>
      </c>
      <c r="K445" t="s">
        <v>34</v>
      </c>
      <c r="L445" t="s">
        <v>49</v>
      </c>
      <c r="M445">
        <v>55.62</v>
      </c>
      <c r="N445">
        <v>958.49</v>
      </c>
      <c r="O445" t="s">
        <v>42</v>
      </c>
      <c r="P445">
        <v>24.81</v>
      </c>
      <c r="Q445" t="str">
        <f t="shared" si="48"/>
        <v>2015-12</v>
      </c>
      <c r="R445">
        <f t="shared" si="49"/>
        <v>2265.0614111410127</v>
      </c>
      <c r="S445">
        <f t="shared" si="50"/>
        <v>40.723865716307316</v>
      </c>
      <c r="T445" t="str">
        <f t="shared" si="51"/>
        <v>West Bengal</v>
      </c>
      <c r="U445" t="str">
        <f t="shared" si="52"/>
        <v>Kolkata</v>
      </c>
      <c r="V445" t="str">
        <f t="shared" si="53"/>
        <v>Wheat</v>
      </c>
      <c r="W445" t="str">
        <f t="shared" si="54"/>
        <v>Npk</v>
      </c>
      <c r="X445" t="str">
        <f t="shared" si="55"/>
        <v>Food</v>
      </c>
    </row>
    <row r="446" spans="1:24" x14ac:dyDescent="0.25">
      <c r="A446" t="s">
        <v>511</v>
      </c>
      <c r="B446" s="1">
        <v>42361</v>
      </c>
      <c r="C446">
        <v>2015</v>
      </c>
      <c r="D446" t="s">
        <v>31</v>
      </c>
      <c r="E446" t="s">
        <v>117</v>
      </c>
      <c r="F446" t="s">
        <v>38</v>
      </c>
      <c r="G446" t="s">
        <v>39</v>
      </c>
      <c r="H446">
        <v>12.65</v>
      </c>
      <c r="I446">
        <v>23.98</v>
      </c>
      <c r="J446">
        <v>1895.92</v>
      </c>
      <c r="K446" t="s">
        <v>34</v>
      </c>
      <c r="L446" t="s">
        <v>47</v>
      </c>
      <c r="M446">
        <v>78.62</v>
      </c>
      <c r="N446">
        <v>1158.3</v>
      </c>
      <c r="O446" t="s">
        <v>61</v>
      </c>
      <c r="P446">
        <v>27.71</v>
      </c>
      <c r="Q446" t="str">
        <f t="shared" si="48"/>
        <v>2015-12</v>
      </c>
      <c r="R446">
        <f t="shared" si="49"/>
        <v>767.25278727666375</v>
      </c>
      <c r="S446">
        <f t="shared" si="50"/>
        <v>9.759002636436831</v>
      </c>
      <c r="T446" t="str">
        <f t="shared" si="51"/>
        <v>Maharashtra</v>
      </c>
      <c r="U446" t="str">
        <f t="shared" si="52"/>
        <v>Mumbai</v>
      </c>
      <c r="V446" t="str">
        <f t="shared" si="53"/>
        <v>Cotton</v>
      </c>
      <c r="W446" t="str">
        <f t="shared" si="54"/>
        <v>Vermicompost</v>
      </c>
      <c r="X446" t="str">
        <f t="shared" si="55"/>
        <v>Cash</v>
      </c>
    </row>
    <row r="447" spans="1:24" x14ac:dyDescent="0.25">
      <c r="A447" t="s">
        <v>512</v>
      </c>
      <c r="B447" s="1">
        <v>42321</v>
      </c>
      <c r="C447">
        <v>2015</v>
      </c>
      <c r="D447" t="s">
        <v>31</v>
      </c>
      <c r="E447" t="s">
        <v>117</v>
      </c>
      <c r="F447" t="s">
        <v>38</v>
      </c>
      <c r="G447" t="s">
        <v>56</v>
      </c>
      <c r="H447">
        <v>94.38</v>
      </c>
      <c r="I447">
        <v>549.66999999999996</v>
      </c>
      <c r="J447">
        <v>5824.02</v>
      </c>
      <c r="K447" t="s">
        <v>40</v>
      </c>
      <c r="L447" t="s">
        <v>41</v>
      </c>
      <c r="M447">
        <v>92.82</v>
      </c>
      <c r="N447">
        <v>511.38</v>
      </c>
      <c r="O447" t="s">
        <v>70</v>
      </c>
      <c r="P447">
        <v>28.11</v>
      </c>
      <c r="Q447" t="str">
        <f t="shared" si="48"/>
        <v>2015-11</v>
      </c>
      <c r="R447">
        <f t="shared" si="49"/>
        <v>2356.900912567532</v>
      </c>
      <c r="S447">
        <f t="shared" si="50"/>
        <v>25.392166694328079</v>
      </c>
      <c r="T447" t="str">
        <f t="shared" si="51"/>
        <v>Maharashtra</v>
      </c>
      <c r="U447" t="str">
        <f t="shared" si="52"/>
        <v>Mumbai</v>
      </c>
      <c r="V447" t="str">
        <f t="shared" si="53"/>
        <v>Rice</v>
      </c>
      <c r="W447" t="str">
        <f t="shared" si="54"/>
        <v>Dap</v>
      </c>
      <c r="X447" t="str">
        <f t="shared" si="55"/>
        <v>Food</v>
      </c>
    </row>
    <row r="448" spans="1:24" x14ac:dyDescent="0.25">
      <c r="A448" t="s">
        <v>513</v>
      </c>
      <c r="B448" s="1">
        <v>44097</v>
      </c>
      <c r="C448">
        <v>2020</v>
      </c>
      <c r="D448" t="s">
        <v>25</v>
      </c>
      <c r="E448" t="s">
        <v>87</v>
      </c>
      <c r="F448" t="s">
        <v>33</v>
      </c>
      <c r="G448" t="s">
        <v>64</v>
      </c>
      <c r="H448">
        <v>38.979999999999997</v>
      </c>
      <c r="I448">
        <v>59.12</v>
      </c>
      <c r="J448">
        <v>1516.72</v>
      </c>
      <c r="K448" t="s">
        <v>28</v>
      </c>
      <c r="L448" t="s">
        <v>47</v>
      </c>
      <c r="M448">
        <v>94.75</v>
      </c>
      <c r="N448">
        <v>796.12</v>
      </c>
      <c r="O448" t="s">
        <v>61</v>
      </c>
      <c r="P448">
        <v>29.44</v>
      </c>
      <c r="Q448" t="str">
        <f t="shared" si="48"/>
        <v>2020-09</v>
      </c>
      <c r="R448">
        <f t="shared" si="49"/>
        <v>613.79575484105953</v>
      </c>
      <c r="S448">
        <f t="shared" si="50"/>
        <v>6.4780554600639526</v>
      </c>
      <c r="T448" t="str">
        <f t="shared" si="51"/>
        <v>Punjab</v>
      </c>
      <c r="U448" t="str">
        <f t="shared" si="52"/>
        <v>Amritsar</v>
      </c>
      <c r="V448" t="str">
        <f t="shared" si="53"/>
        <v>Wheat</v>
      </c>
      <c r="W448" t="str">
        <f t="shared" si="54"/>
        <v>Vermicompost</v>
      </c>
      <c r="X448" t="str">
        <f t="shared" si="55"/>
        <v>Food</v>
      </c>
    </row>
    <row r="449" spans="1:24" x14ac:dyDescent="0.25">
      <c r="A449" t="s">
        <v>514</v>
      </c>
      <c r="B449" s="1">
        <v>42179</v>
      </c>
      <c r="C449">
        <v>2015</v>
      </c>
      <c r="D449" t="s">
        <v>31</v>
      </c>
      <c r="E449" t="s">
        <v>32</v>
      </c>
      <c r="F449" t="s">
        <v>33</v>
      </c>
      <c r="G449" t="s">
        <v>39</v>
      </c>
      <c r="H449">
        <v>76.08</v>
      </c>
      <c r="I449">
        <v>445.51</v>
      </c>
      <c r="J449">
        <v>5855.8</v>
      </c>
      <c r="K449" t="s">
        <v>21</v>
      </c>
      <c r="L449" t="s">
        <v>29</v>
      </c>
      <c r="M449">
        <v>293.42</v>
      </c>
      <c r="N449">
        <v>955.74</v>
      </c>
      <c r="O449" t="s">
        <v>52</v>
      </c>
      <c r="P449">
        <v>28.52</v>
      </c>
      <c r="Q449" t="str">
        <f t="shared" si="48"/>
        <v>2015-06</v>
      </c>
      <c r="R449">
        <f t="shared" si="49"/>
        <v>2369.7618421318875</v>
      </c>
      <c r="S449">
        <f t="shared" si="50"/>
        <v>8.0763473591844033</v>
      </c>
      <c r="T449" t="str">
        <f t="shared" si="51"/>
        <v>Maharashtra</v>
      </c>
      <c r="U449" t="str">
        <f t="shared" si="52"/>
        <v>Pune</v>
      </c>
      <c r="V449" t="str">
        <f t="shared" si="53"/>
        <v>Cotton</v>
      </c>
      <c r="W449" t="str">
        <f t="shared" si="54"/>
        <v>Compost</v>
      </c>
      <c r="X449" t="str">
        <f t="shared" si="55"/>
        <v>Cash</v>
      </c>
    </row>
    <row r="450" spans="1:24" x14ac:dyDescent="0.25">
      <c r="A450" t="s">
        <v>515</v>
      </c>
      <c r="B450" s="1">
        <v>41753</v>
      </c>
      <c r="C450">
        <v>2014</v>
      </c>
      <c r="D450" t="s">
        <v>25</v>
      </c>
      <c r="E450" t="s">
        <v>87</v>
      </c>
      <c r="F450" t="s">
        <v>19</v>
      </c>
      <c r="G450" t="s">
        <v>39</v>
      </c>
      <c r="H450">
        <v>71.31</v>
      </c>
      <c r="I450">
        <v>270.43</v>
      </c>
      <c r="J450">
        <v>3792.38</v>
      </c>
      <c r="K450" t="s">
        <v>40</v>
      </c>
      <c r="L450" t="s">
        <v>29</v>
      </c>
      <c r="M450">
        <v>286.86</v>
      </c>
      <c r="N450">
        <v>343.72</v>
      </c>
      <c r="O450" t="s">
        <v>61</v>
      </c>
      <c r="P450">
        <v>23.87</v>
      </c>
      <c r="Q450" t="str">
        <f t="shared" ref="Q450:Q501" si="56">TEXT(B450,"yyyy-mm")</f>
        <v>2014-04</v>
      </c>
      <c r="R450">
        <f t="shared" ref="R450:R501" si="57">J450/2.47105</f>
        <v>1534.7241051374922</v>
      </c>
      <c r="S450">
        <f t="shared" ref="S450:S501" si="58">R450/M450</f>
        <v>5.3500805449957891</v>
      </c>
      <c r="T450" t="str">
        <f t="shared" ref="T450:T501" si="59">PROPER(TRIM(D450))</f>
        <v>Punjab</v>
      </c>
      <c r="U450" t="str">
        <f t="shared" ref="U450:U513" si="60">PROPER(TRIM(E450))</f>
        <v>Amritsar</v>
      </c>
      <c r="V450" t="str">
        <f t="shared" ref="V450:V513" si="61">PROPER(TRIM(G450))</f>
        <v>Cotton</v>
      </c>
      <c r="W450" t="str">
        <f t="shared" ref="W450:W513" si="62">PROPER(TRIM(L450))</f>
        <v>Compost</v>
      </c>
      <c r="X450" t="str">
        <f t="shared" ref="X450:X513" si="63">IF(OR(V450="Wheat",V450="Rice",V450="Maize",V450="Pulses"),"Food","Cash")</f>
        <v>Cash</v>
      </c>
    </row>
    <row r="451" spans="1:24" x14ac:dyDescent="0.25">
      <c r="A451" t="s">
        <v>516</v>
      </c>
      <c r="B451" s="1">
        <v>44225</v>
      </c>
      <c r="C451">
        <v>2020</v>
      </c>
      <c r="D451" t="s">
        <v>103</v>
      </c>
      <c r="E451" t="s">
        <v>228</v>
      </c>
      <c r="F451" t="s">
        <v>38</v>
      </c>
      <c r="G451" t="s">
        <v>20</v>
      </c>
      <c r="H451">
        <v>45.88</v>
      </c>
      <c r="I451">
        <v>54.21</v>
      </c>
      <c r="J451">
        <v>1181.58</v>
      </c>
      <c r="K451" t="s">
        <v>28</v>
      </c>
      <c r="L451" t="s">
        <v>47</v>
      </c>
      <c r="M451">
        <v>78.22</v>
      </c>
      <c r="N451">
        <v>678.65</v>
      </c>
      <c r="O451" t="s">
        <v>42</v>
      </c>
      <c r="P451">
        <v>24.23</v>
      </c>
      <c r="Q451" t="str">
        <f t="shared" si="56"/>
        <v>2021-01</v>
      </c>
      <c r="R451">
        <f t="shared" si="57"/>
        <v>478.16919932822077</v>
      </c>
      <c r="S451">
        <f t="shared" si="58"/>
        <v>6.113132182667103</v>
      </c>
      <c r="T451" t="str">
        <f t="shared" si="59"/>
        <v>Haryana</v>
      </c>
      <c r="U451" t="str">
        <f t="shared" si="60"/>
        <v>Hisar</v>
      </c>
      <c r="V451" t="str">
        <f t="shared" si="61"/>
        <v>Maize</v>
      </c>
      <c r="W451" t="str">
        <f t="shared" si="62"/>
        <v>Vermicompost</v>
      </c>
      <c r="X451" t="str">
        <f t="shared" si="63"/>
        <v>Food</v>
      </c>
    </row>
    <row r="452" spans="1:24" x14ac:dyDescent="0.25">
      <c r="A452" t="s">
        <v>517</v>
      </c>
      <c r="B452" s="1">
        <v>43354</v>
      </c>
      <c r="C452">
        <v>2018</v>
      </c>
      <c r="D452" t="s">
        <v>59</v>
      </c>
      <c r="E452" t="s">
        <v>60</v>
      </c>
      <c r="F452" t="s">
        <v>33</v>
      </c>
      <c r="G452" t="s">
        <v>46</v>
      </c>
      <c r="H452">
        <v>81.94</v>
      </c>
      <c r="I452">
        <v>473.66</v>
      </c>
      <c r="J452">
        <v>5780.55</v>
      </c>
      <c r="K452" t="s">
        <v>34</v>
      </c>
      <c r="L452" t="s">
        <v>47</v>
      </c>
      <c r="M452">
        <v>189.04</v>
      </c>
      <c r="N452">
        <v>270.92</v>
      </c>
      <c r="O452" t="s">
        <v>70</v>
      </c>
      <c r="P452">
        <v>27.99</v>
      </c>
      <c r="Q452" t="str">
        <f t="shared" si="56"/>
        <v>2018-09</v>
      </c>
      <c r="R452">
        <f t="shared" si="57"/>
        <v>2339.3092005422795</v>
      </c>
      <c r="S452">
        <f t="shared" si="58"/>
        <v>12.374678377815698</v>
      </c>
      <c r="T452" t="str">
        <f t="shared" si="59"/>
        <v>Bihar</v>
      </c>
      <c r="U452" t="str">
        <f t="shared" si="60"/>
        <v>Patna</v>
      </c>
      <c r="V452" t="str">
        <f t="shared" si="61"/>
        <v>Sugarcane</v>
      </c>
      <c r="W452" t="str">
        <f t="shared" si="62"/>
        <v>Vermicompost</v>
      </c>
      <c r="X452" t="str">
        <f t="shared" si="63"/>
        <v>Cash</v>
      </c>
    </row>
    <row r="453" spans="1:24" x14ac:dyDescent="0.25">
      <c r="A453" t="s">
        <v>518</v>
      </c>
      <c r="B453" s="1">
        <v>43728</v>
      </c>
      <c r="C453">
        <v>2019</v>
      </c>
      <c r="D453" t="s">
        <v>36</v>
      </c>
      <c r="E453" t="s">
        <v>37</v>
      </c>
      <c r="F453" t="s">
        <v>33</v>
      </c>
      <c r="G453" t="s">
        <v>27</v>
      </c>
      <c r="H453">
        <v>16.739999999999998</v>
      </c>
      <c r="I453">
        <v>65.19</v>
      </c>
      <c r="J453">
        <v>3894.25</v>
      </c>
      <c r="K453" t="s">
        <v>21</v>
      </c>
      <c r="L453" t="s">
        <v>47</v>
      </c>
      <c r="M453">
        <v>135.18</v>
      </c>
      <c r="N453">
        <v>1013.92</v>
      </c>
      <c r="O453" t="s">
        <v>61</v>
      </c>
      <c r="P453">
        <v>26.47</v>
      </c>
      <c r="Q453" t="str">
        <f t="shared" si="56"/>
        <v>2019-09</v>
      </c>
      <c r="R453">
        <f t="shared" si="57"/>
        <v>1575.949495153882</v>
      </c>
      <c r="S453">
        <f t="shared" si="58"/>
        <v>11.658155756427593</v>
      </c>
      <c r="T453" t="str">
        <f t="shared" si="59"/>
        <v>Karnataka</v>
      </c>
      <c r="U453" t="str">
        <f t="shared" si="60"/>
        <v>Bangalore</v>
      </c>
      <c r="V453" t="str">
        <f t="shared" si="61"/>
        <v>Pulses</v>
      </c>
      <c r="W453" t="str">
        <f t="shared" si="62"/>
        <v>Vermicompost</v>
      </c>
      <c r="X453" t="str">
        <f t="shared" si="63"/>
        <v>Food</v>
      </c>
    </row>
    <row r="454" spans="1:24" x14ac:dyDescent="0.25">
      <c r="A454" t="s">
        <v>519</v>
      </c>
      <c r="B454" s="1">
        <v>43243</v>
      </c>
      <c r="C454">
        <v>2018</v>
      </c>
      <c r="D454" t="s">
        <v>44</v>
      </c>
      <c r="E454" t="s">
        <v>99</v>
      </c>
      <c r="F454" t="s">
        <v>19</v>
      </c>
      <c r="G454" t="s">
        <v>56</v>
      </c>
      <c r="H454">
        <v>18.14</v>
      </c>
      <c r="I454">
        <v>91.02</v>
      </c>
      <c r="J454">
        <v>5017.63</v>
      </c>
      <c r="K454" t="s">
        <v>28</v>
      </c>
      <c r="L454" t="s">
        <v>29</v>
      </c>
      <c r="M454">
        <v>78.58</v>
      </c>
      <c r="N454">
        <v>796.08</v>
      </c>
      <c r="O454" t="s">
        <v>70</v>
      </c>
      <c r="P454">
        <v>28.33</v>
      </c>
      <c r="Q454" t="str">
        <f t="shared" si="56"/>
        <v>2018-05</v>
      </c>
      <c r="R454">
        <f t="shared" si="57"/>
        <v>2030.5659537443598</v>
      </c>
      <c r="S454">
        <f t="shared" si="58"/>
        <v>25.840747693361667</v>
      </c>
      <c r="T454" t="str">
        <f t="shared" si="59"/>
        <v>West Bengal</v>
      </c>
      <c r="U454" t="str">
        <f t="shared" si="60"/>
        <v>Howrah</v>
      </c>
      <c r="V454" t="str">
        <f t="shared" si="61"/>
        <v>Rice</v>
      </c>
      <c r="W454" t="str">
        <f t="shared" si="62"/>
        <v>Compost</v>
      </c>
      <c r="X454" t="str">
        <f t="shared" si="63"/>
        <v>Food</v>
      </c>
    </row>
    <row r="455" spans="1:24" x14ac:dyDescent="0.25">
      <c r="A455" t="s">
        <v>520</v>
      </c>
      <c r="B455" s="1">
        <v>42557</v>
      </c>
      <c r="C455">
        <v>2016</v>
      </c>
      <c r="D455" t="s">
        <v>103</v>
      </c>
      <c r="E455" t="s">
        <v>107</v>
      </c>
      <c r="F455" t="s">
        <v>33</v>
      </c>
      <c r="G455" t="s">
        <v>27</v>
      </c>
      <c r="H455">
        <v>11.77</v>
      </c>
      <c r="I455">
        <v>69.260000000000005</v>
      </c>
      <c r="J455">
        <v>5884.4</v>
      </c>
      <c r="K455" t="s">
        <v>28</v>
      </c>
      <c r="L455" t="s">
        <v>47</v>
      </c>
      <c r="M455">
        <v>131.85</v>
      </c>
      <c r="N455">
        <v>844.99</v>
      </c>
      <c r="O455" t="s">
        <v>23</v>
      </c>
      <c r="P455">
        <v>21.36</v>
      </c>
      <c r="Q455" t="str">
        <f t="shared" si="56"/>
        <v>2016-07</v>
      </c>
      <c r="R455">
        <f t="shared" si="57"/>
        <v>2381.3358693672731</v>
      </c>
      <c r="S455">
        <f t="shared" si="58"/>
        <v>18.06094705625539</v>
      </c>
      <c r="T455" t="str">
        <f t="shared" si="59"/>
        <v>Haryana</v>
      </c>
      <c r="U455" t="str">
        <f t="shared" si="60"/>
        <v>Faridabad</v>
      </c>
      <c r="V455" t="str">
        <f t="shared" si="61"/>
        <v>Pulses</v>
      </c>
      <c r="W455" t="str">
        <f t="shared" si="62"/>
        <v>Vermicompost</v>
      </c>
      <c r="X455" t="str">
        <f t="shared" si="63"/>
        <v>Food</v>
      </c>
    </row>
    <row r="456" spans="1:24" x14ac:dyDescent="0.25">
      <c r="A456" t="s">
        <v>521</v>
      </c>
      <c r="B456" s="1">
        <v>44794</v>
      </c>
      <c r="C456">
        <v>2022</v>
      </c>
      <c r="D456" t="s">
        <v>44</v>
      </c>
      <c r="E456" t="s">
        <v>67</v>
      </c>
      <c r="F456" t="s">
        <v>33</v>
      </c>
      <c r="G456" t="s">
        <v>56</v>
      </c>
      <c r="H456">
        <v>66.430000000000007</v>
      </c>
      <c r="I456">
        <v>246.98</v>
      </c>
      <c r="J456">
        <v>3717.85</v>
      </c>
      <c r="K456" t="s">
        <v>34</v>
      </c>
      <c r="L456" t="s">
        <v>49</v>
      </c>
      <c r="M456">
        <v>147.5</v>
      </c>
      <c r="N456">
        <v>777.93</v>
      </c>
      <c r="O456" t="s">
        <v>42</v>
      </c>
      <c r="P456">
        <v>23.08</v>
      </c>
      <c r="Q456" t="str">
        <f t="shared" si="56"/>
        <v>2022-08</v>
      </c>
      <c r="R456">
        <f t="shared" si="57"/>
        <v>1504.5628376601039</v>
      </c>
      <c r="S456">
        <f t="shared" si="58"/>
        <v>10.200426018034603</v>
      </c>
      <c r="T456" t="str">
        <f t="shared" si="59"/>
        <v>West Bengal</v>
      </c>
      <c r="U456" t="str">
        <f t="shared" si="60"/>
        <v>Darjeeling</v>
      </c>
      <c r="V456" t="str">
        <f t="shared" si="61"/>
        <v>Rice</v>
      </c>
      <c r="W456" t="str">
        <f t="shared" si="62"/>
        <v>Npk</v>
      </c>
      <c r="X456" t="str">
        <f t="shared" si="63"/>
        <v>Food</v>
      </c>
    </row>
    <row r="457" spans="1:24" x14ac:dyDescent="0.25">
      <c r="A457" t="s">
        <v>522</v>
      </c>
      <c r="B457" s="1">
        <v>41976</v>
      </c>
      <c r="C457">
        <v>2014</v>
      </c>
      <c r="D457" t="s">
        <v>59</v>
      </c>
      <c r="E457" t="s">
        <v>93</v>
      </c>
      <c r="F457" t="s">
        <v>38</v>
      </c>
      <c r="G457" t="s">
        <v>39</v>
      </c>
      <c r="H457">
        <v>98.28</v>
      </c>
      <c r="I457">
        <v>301.29000000000002</v>
      </c>
      <c r="J457">
        <v>3065.59</v>
      </c>
      <c r="K457" t="s">
        <v>21</v>
      </c>
      <c r="L457" t="s">
        <v>49</v>
      </c>
      <c r="M457">
        <v>195.68</v>
      </c>
      <c r="N457">
        <v>811.49</v>
      </c>
      <c r="O457" t="s">
        <v>61</v>
      </c>
      <c r="P457">
        <v>26.06</v>
      </c>
      <c r="Q457" t="str">
        <f t="shared" si="56"/>
        <v>2014-12</v>
      </c>
      <c r="R457">
        <f t="shared" si="57"/>
        <v>1240.6021731652538</v>
      </c>
      <c r="S457">
        <f t="shared" si="58"/>
        <v>6.3399538694054263</v>
      </c>
      <c r="T457" t="str">
        <f t="shared" si="59"/>
        <v>Bihar</v>
      </c>
      <c r="U457" t="str">
        <f t="shared" si="60"/>
        <v>Bhagalpur</v>
      </c>
      <c r="V457" t="str">
        <f t="shared" si="61"/>
        <v>Cotton</v>
      </c>
      <c r="W457" t="str">
        <f t="shared" si="62"/>
        <v>Npk</v>
      </c>
      <c r="X457" t="str">
        <f t="shared" si="63"/>
        <v>Cash</v>
      </c>
    </row>
    <row r="458" spans="1:24" x14ac:dyDescent="0.25">
      <c r="A458" t="s">
        <v>523</v>
      </c>
      <c r="B458" s="1">
        <v>43403</v>
      </c>
      <c r="C458">
        <v>2018</v>
      </c>
      <c r="D458" t="s">
        <v>25</v>
      </c>
      <c r="E458" t="s">
        <v>87</v>
      </c>
      <c r="F458" t="s">
        <v>33</v>
      </c>
      <c r="G458" t="s">
        <v>64</v>
      </c>
      <c r="H458">
        <v>70.63</v>
      </c>
      <c r="I458">
        <v>418.45</v>
      </c>
      <c r="J458">
        <v>5924.52</v>
      </c>
      <c r="K458" t="s">
        <v>34</v>
      </c>
      <c r="L458" t="s">
        <v>29</v>
      </c>
      <c r="M458">
        <v>77.42</v>
      </c>
      <c r="N458">
        <v>482.21</v>
      </c>
      <c r="O458" t="s">
        <v>23</v>
      </c>
      <c r="P458">
        <v>23.53</v>
      </c>
      <c r="Q458" t="str">
        <f t="shared" si="56"/>
        <v>2018-10</v>
      </c>
      <c r="R458">
        <f t="shared" si="57"/>
        <v>2397.5718823981711</v>
      </c>
      <c r="S458">
        <f t="shared" si="58"/>
        <v>30.968378744486838</v>
      </c>
      <c r="T458" t="str">
        <f t="shared" si="59"/>
        <v>Punjab</v>
      </c>
      <c r="U458" t="str">
        <f t="shared" si="60"/>
        <v>Amritsar</v>
      </c>
      <c r="V458" t="str">
        <f t="shared" si="61"/>
        <v>Wheat</v>
      </c>
      <c r="W458" t="str">
        <f t="shared" si="62"/>
        <v>Compost</v>
      </c>
      <c r="X458" t="str">
        <f t="shared" si="63"/>
        <v>Food</v>
      </c>
    </row>
    <row r="459" spans="1:24" x14ac:dyDescent="0.25">
      <c r="A459" t="s">
        <v>524</v>
      </c>
      <c r="B459" s="1">
        <v>44593</v>
      </c>
      <c r="C459">
        <v>2021</v>
      </c>
      <c r="D459" t="s">
        <v>17</v>
      </c>
      <c r="E459" t="s">
        <v>72</v>
      </c>
      <c r="F459" t="s">
        <v>38</v>
      </c>
      <c r="G459" t="s">
        <v>46</v>
      </c>
      <c r="H459">
        <v>38.770000000000003</v>
      </c>
      <c r="I459">
        <v>165.58</v>
      </c>
      <c r="J459">
        <v>4270.71</v>
      </c>
      <c r="K459" t="s">
        <v>40</v>
      </c>
      <c r="L459" t="s">
        <v>29</v>
      </c>
      <c r="M459">
        <v>168.72</v>
      </c>
      <c r="N459">
        <v>388.23</v>
      </c>
      <c r="O459" t="s">
        <v>52</v>
      </c>
      <c r="P459">
        <v>32.65</v>
      </c>
      <c r="Q459" t="str">
        <f t="shared" si="56"/>
        <v>2022-02</v>
      </c>
      <c r="R459">
        <f t="shared" si="57"/>
        <v>1728.2976872179843</v>
      </c>
      <c r="S459">
        <f t="shared" si="58"/>
        <v>10.243585154208063</v>
      </c>
      <c r="T459" t="str">
        <f t="shared" si="59"/>
        <v>Uttar Pradesh</v>
      </c>
      <c r="U459" t="str">
        <f t="shared" si="60"/>
        <v>Kanpur</v>
      </c>
      <c r="V459" t="str">
        <f t="shared" si="61"/>
        <v>Sugarcane</v>
      </c>
      <c r="W459" t="str">
        <f t="shared" si="62"/>
        <v>Compost</v>
      </c>
      <c r="X459" t="str">
        <f t="shared" si="63"/>
        <v>Cash</v>
      </c>
    </row>
    <row r="460" spans="1:24" x14ac:dyDescent="0.25">
      <c r="A460" t="s">
        <v>525</v>
      </c>
      <c r="B460" s="1">
        <v>44017</v>
      </c>
      <c r="C460">
        <v>2020</v>
      </c>
      <c r="D460" t="s">
        <v>103</v>
      </c>
      <c r="E460" t="s">
        <v>107</v>
      </c>
      <c r="F460" t="s">
        <v>33</v>
      </c>
      <c r="G460" t="s">
        <v>56</v>
      </c>
      <c r="H460">
        <v>2.15</v>
      </c>
      <c r="I460">
        <v>10.51</v>
      </c>
      <c r="J460">
        <v>4890.34</v>
      </c>
      <c r="K460" t="s">
        <v>40</v>
      </c>
      <c r="L460" t="s">
        <v>22</v>
      </c>
      <c r="M460">
        <v>230.33</v>
      </c>
      <c r="N460">
        <v>686.7</v>
      </c>
      <c r="O460" t="s">
        <v>52</v>
      </c>
      <c r="P460">
        <v>34.619999999999997</v>
      </c>
      <c r="Q460" t="str">
        <f t="shared" si="56"/>
        <v>2020-07</v>
      </c>
      <c r="R460">
        <f t="shared" si="57"/>
        <v>1979.0534388215538</v>
      </c>
      <c r="S460">
        <f t="shared" si="58"/>
        <v>8.5922521548280884</v>
      </c>
      <c r="T460" t="str">
        <f t="shared" si="59"/>
        <v>Haryana</v>
      </c>
      <c r="U460" t="str">
        <f t="shared" si="60"/>
        <v>Faridabad</v>
      </c>
      <c r="V460" t="str">
        <f t="shared" si="61"/>
        <v>Rice</v>
      </c>
      <c r="W460" t="str">
        <f t="shared" si="62"/>
        <v>Urea</v>
      </c>
      <c r="X460" t="str">
        <f t="shared" si="63"/>
        <v>Food</v>
      </c>
    </row>
    <row r="461" spans="1:24" x14ac:dyDescent="0.25">
      <c r="A461" t="s">
        <v>526</v>
      </c>
      <c r="B461" s="1">
        <v>44981</v>
      </c>
      <c r="C461">
        <v>2022</v>
      </c>
      <c r="D461" t="s">
        <v>103</v>
      </c>
      <c r="E461" t="s">
        <v>228</v>
      </c>
      <c r="F461" t="s">
        <v>38</v>
      </c>
      <c r="G461" t="s">
        <v>46</v>
      </c>
      <c r="H461">
        <v>89.46</v>
      </c>
      <c r="I461">
        <v>462.72</v>
      </c>
      <c r="J461">
        <v>5172.34</v>
      </c>
      <c r="K461" t="s">
        <v>28</v>
      </c>
      <c r="L461" t="s">
        <v>29</v>
      </c>
      <c r="M461">
        <v>205.81</v>
      </c>
      <c r="N461">
        <v>654.39</v>
      </c>
      <c r="O461" t="s">
        <v>52</v>
      </c>
      <c r="P461">
        <v>28.28</v>
      </c>
      <c r="Q461" t="str">
        <f t="shared" si="56"/>
        <v>2023-02</v>
      </c>
      <c r="R461">
        <f t="shared" si="57"/>
        <v>2093.1749661075251</v>
      </c>
      <c r="S461">
        <f t="shared" si="58"/>
        <v>10.170424012961105</v>
      </c>
      <c r="T461" t="str">
        <f t="shared" si="59"/>
        <v>Haryana</v>
      </c>
      <c r="U461" t="str">
        <f t="shared" si="60"/>
        <v>Hisar</v>
      </c>
      <c r="V461" t="str">
        <f t="shared" si="61"/>
        <v>Sugarcane</v>
      </c>
      <c r="W461" t="str">
        <f t="shared" si="62"/>
        <v>Compost</v>
      </c>
      <c r="X461" t="str">
        <f t="shared" si="63"/>
        <v>Cash</v>
      </c>
    </row>
    <row r="462" spans="1:24" x14ac:dyDescent="0.25">
      <c r="A462" t="s">
        <v>527</v>
      </c>
      <c r="B462" s="1">
        <v>41222</v>
      </c>
      <c r="C462">
        <v>2012</v>
      </c>
      <c r="D462" t="s">
        <v>31</v>
      </c>
      <c r="E462" t="s">
        <v>82</v>
      </c>
      <c r="F462" t="s">
        <v>38</v>
      </c>
      <c r="G462" t="s">
        <v>27</v>
      </c>
      <c r="H462">
        <v>1.74</v>
      </c>
      <c r="I462">
        <v>6.94</v>
      </c>
      <c r="J462">
        <v>3988.94</v>
      </c>
      <c r="K462" t="s">
        <v>40</v>
      </c>
      <c r="L462" t="s">
        <v>22</v>
      </c>
      <c r="M462">
        <v>228.03</v>
      </c>
      <c r="N462">
        <v>469.25</v>
      </c>
      <c r="O462" t="s">
        <v>61</v>
      </c>
      <c r="P462">
        <v>28.65</v>
      </c>
      <c r="Q462" t="str">
        <f t="shared" si="56"/>
        <v>2012-11</v>
      </c>
      <c r="R462">
        <f t="shared" si="57"/>
        <v>1614.2692377734163</v>
      </c>
      <c r="S462">
        <f t="shared" si="58"/>
        <v>7.0791967625900813</v>
      </c>
      <c r="T462" t="str">
        <f t="shared" si="59"/>
        <v>Maharashtra</v>
      </c>
      <c r="U462" t="str">
        <f t="shared" si="60"/>
        <v>Nagpur</v>
      </c>
      <c r="V462" t="str">
        <f t="shared" si="61"/>
        <v>Pulses</v>
      </c>
      <c r="W462" t="str">
        <f t="shared" si="62"/>
        <v>Urea</v>
      </c>
      <c r="X462" t="str">
        <f t="shared" si="63"/>
        <v>Food</v>
      </c>
    </row>
    <row r="463" spans="1:24" x14ac:dyDescent="0.25">
      <c r="A463" t="s">
        <v>528</v>
      </c>
      <c r="B463" s="1">
        <v>44521</v>
      </c>
      <c r="C463">
        <v>2021</v>
      </c>
      <c r="D463" t="s">
        <v>59</v>
      </c>
      <c r="E463" t="s">
        <v>63</v>
      </c>
      <c r="F463" t="s">
        <v>38</v>
      </c>
      <c r="G463" t="s">
        <v>64</v>
      </c>
      <c r="H463">
        <v>58.45</v>
      </c>
      <c r="I463">
        <v>395.73</v>
      </c>
      <c r="J463">
        <v>6770.43</v>
      </c>
      <c r="K463" t="s">
        <v>21</v>
      </c>
      <c r="L463" t="s">
        <v>47</v>
      </c>
      <c r="M463">
        <v>85.52</v>
      </c>
      <c r="N463">
        <v>931.29</v>
      </c>
      <c r="O463" t="s">
        <v>70</v>
      </c>
      <c r="P463">
        <v>26.97</v>
      </c>
      <c r="Q463" t="str">
        <f t="shared" si="56"/>
        <v>2021-11</v>
      </c>
      <c r="R463">
        <f t="shared" si="57"/>
        <v>2739.9000424920582</v>
      </c>
      <c r="S463">
        <f t="shared" si="58"/>
        <v>32.038120234939875</v>
      </c>
      <c r="T463" t="str">
        <f t="shared" si="59"/>
        <v>Bihar</v>
      </c>
      <c r="U463" t="str">
        <f t="shared" si="60"/>
        <v>Gaya</v>
      </c>
      <c r="V463" t="str">
        <f t="shared" si="61"/>
        <v>Wheat</v>
      </c>
      <c r="W463" t="str">
        <f t="shared" si="62"/>
        <v>Vermicompost</v>
      </c>
      <c r="X463" t="str">
        <f t="shared" si="63"/>
        <v>Food</v>
      </c>
    </row>
    <row r="464" spans="1:24" x14ac:dyDescent="0.25">
      <c r="A464" t="s">
        <v>529</v>
      </c>
      <c r="B464" s="1">
        <v>41592</v>
      </c>
      <c r="C464">
        <v>2013</v>
      </c>
      <c r="D464" t="s">
        <v>59</v>
      </c>
      <c r="E464" t="s">
        <v>60</v>
      </c>
      <c r="F464" t="s">
        <v>38</v>
      </c>
      <c r="G464" t="s">
        <v>39</v>
      </c>
      <c r="H464">
        <v>74.430000000000007</v>
      </c>
      <c r="I464">
        <v>503.33</v>
      </c>
      <c r="J464">
        <v>6762.47</v>
      </c>
      <c r="K464" t="s">
        <v>21</v>
      </c>
      <c r="L464" t="s">
        <v>49</v>
      </c>
      <c r="M464">
        <v>221.02</v>
      </c>
      <c r="N464">
        <v>739.2</v>
      </c>
      <c r="O464" t="s">
        <v>61</v>
      </c>
      <c r="P464">
        <v>24.69</v>
      </c>
      <c r="Q464" t="str">
        <f t="shared" si="56"/>
        <v>2013-11</v>
      </c>
      <c r="R464">
        <f t="shared" si="57"/>
        <v>2736.6787398069646</v>
      </c>
      <c r="S464">
        <f t="shared" si="58"/>
        <v>12.382041171871164</v>
      </c>
      <c r="T464" t="str">
        <f t="shared" si="59"/>
        <v>Bihar</v>
      </c>
      <c r="U464" t="str">
        <f t="shared" si="60"/>
        <v>Patna</v>
      </c>
      <c r="V464" t="str">
        <f t="shared" si="61"/>
        <v>Cotton</v>
      </c>
      <c r="W464" t="str">
        <f t="shared" si="62"/>
        <v>Npk</v>
      </c>
      <c r="X464" t="str">
        <f t="shared" si="63"/>
        <v>Cash</v>
      </c>
    </row>
    <row r="465" spans="1:24" x14ac:dyDescent="0.25">
      <c r="A465" t="s">
        <v>530</v>
      </c>
      <c r="B465" s="1">
        <v>43049</v>
      </c>
      <c r="C465">
        <v>2017</v>
      </c>
      <c r="D465" t="s">
        <v>59</v>
      </c>
      <c r="E465" t="s">
        <v>60</v>
      </c>
      <c r="F465" t="s">
        <v>38</v>
      </c>
      <c r="G465" t="s">
        <v>27</v>
      </c>
      <c r="H465">
        <v>90.7</v>
      </c>
      <c r="I465">
        <v>403.05</v>
      </c>
      <c r="J465">
        <v>4443.79</v>
      </c>
      <c r="K465" t="s">
        <v>34</v>
      </c>
      <c r="L465" t="s">
        <v>47</v>
      </c>
      <c r="M465">
        <v>155.25</v>
      </c>
      <c r="N465">
        <v>1160.58</v>
      </c>
      <c r="O465" t="s">
        <v>70</v>
      </c>
      <c r="P465">
        <v>24.34</v>
      </c>
      <c r="Q465" t="str">
        <f t="shared" si="56"/>
        <v>2017-11</v>
      </c>
      <c r="R465">
        <f t="shared" si="57"/>
        <v>1798.3407863054167</v>
      </c>
      <c r="S465">
        <f t="shared" si="58"/>
        <v>11.583515531757918</v>
      </c>
      <c r="T465" t="str">
        <f t="shared" si="59"/>
        <v>Bihar</v>
      </c>
      <c r="U465" t="str">
        <f t="shared" si="60"/>
        <v>Patna</v>
      </c>
      <c r="V465" t="str">
        <f t="shared" si="61"/>
        <v>Pulses</v>
      </c>
      <c r="W465" t="str">
        <f t="shared" si="62"/>
        <v>Vermicompost</v>
      </c>
      <c r="X465" t="str">
        <f t="shared" si="63"/>
        <v>Food</v>
      </c>
    </row>
    <row r="466" spans="1:24" x14ac:dyDescent="0.25">
      <c r="A466" t="s">
        <v>531</v>
      </c>
      <c r="B466" s="1">
        <v>44326</v>
      </c>
      <c r="C466">
        <v>2021</v>
      </c>
      <c r="D466" t="s">
        <v>17</v>
      </c>
      <c r="E466" t="s">
        <v>72</v>
      </c>
      <c r="F466" t="s">
        <v>19</v>
      </c>
      <c r="G466" t="s">
        <v>20</v>
      </c>
      <c r="H466">
        <v>7.08</v>
      </c>
      <c r="I466">
        <v>27.18</v>
      </c>
      <c r="J466">
        <v>3838.96</v>
      </c>
      <c r="K466" t="s">
        <v>40</v>
      </c>
      <c r="L466" t="s">
        <v>22</v>
      </c>
      <c r="M466">
        <v>193.21</v>
      </c>
      <c r="N466">
        <v>856.32</v>
      </c>
      <c r="O466" t="s">
        <v>70</v>
      </c>
      <c r="P466">
        <v>32.130000000000003</v>
      </c>
      <c r="Q466" t="str">
        <f t="shared" si="56"/>
        <v>2021-05</v>
      </c>
      <c r="R466">
        <f t="shared" si="57"/>
        <v>1553.574391453026</v>
      </c>
      <c r="S466">
        <f t="shared" si="58"/>
        <v>8.0408591245433776</v>
      </c>
      <c r="T466" t="str">
        <f t="shared" si="59"/>
        <v>Uttar Pradesh</v>
      </c>
      <c r="U466" t="str">
        <f t="shared" si="60"/>
        <v>Kanpur</v>
      </c>
      <c r="V466" t="str">
        <f t="shared" si="61"/>
        <v>Maize</v>
      </c>
      <c r="W466" t="str">
        <f t="shared" si="62"/>
        <v>Urea</v>
      </c>
      <c r="X466" t="str">
        <f t="shared" si="63"/>
        <v>Food</v>
      </c>
    </row>
    <row r="467" spans="1:24" x14ac:dyDescent="0.25">
      <c r="A467" t="s">
        <v>532</v>
      </c>
      <c r="B467" s="1">
        <v>40723</v>
      </c>
      <c r="C467">
        <v>2011</v>
      </c>
      <c r="D467" t="s">
        <v>31</v>
      </c>
      <c r="E467" t="s">
        <v>32</v>
      </c>
      <c r="F467" t="s">
        <v>33</v>
      </c>
      <c r="G467" t="s">
        <v>27</v>
      </c>
      <c r="H467">
        <v>8.61</v>
      </c>
      <c r="I467">
        <v>49.1</v>
      </c>
      <c r="J467">
        <v>5702.58</v>
      </c>
      <c r="K467" t="s">
        <v>34</v>
      </c>
      <c r="L467" t="s">
        <v>47</v>
      </c>
      <c r="M467">
        <v>83.13</v>
      </c>
      <c r="N467">
        <v>480.97</v>
      </c>
      <c r="O467" t="s">
        <v>70</v>
      </c>
      <c r="P467">
        <v>20.21</v>
      </c>
      <c r="Q467" t="str">
        <f t="shared" si="56"/>
        <v>2011-06</v>
      </c>
      <c r="R467">
        <f t="shared" si="57"/>
        <v>2307.7558123065096</v>
      </c>
      <c r="S467">
        <f t="shared" si="58"/>
        <v>27.760806114597735</v>
      </c>
      <c r="T467" t="str">
        <f t="shared" si="59"/>
        <v>Maharashtra</v>
      </c>
      <c r="U467" t="str">
        <f t="shared" si="60"/>
        <v>Pune</v>
      </c>
      <c r="V467" t="str">
        <f t="shared" si="61"/>
        <v>Pulses</v>
      </c>
      <c r="W467" t="str">
        <f t="shared" si="62"/>
        <v>Vermicompost</v>
      </c>
      <c r="X467" t="str">
        <f t="shared" si="63"/>
        <v>Food</v>
      </c>
    </row>
    <row r="468" spans="1:24" x14ac:dyDescent="0.25">
      <c r="A468" t="s">
        <v>533</v>
      </c>
      <c r="B468" s="1">
        <v>44356</v>
      </c>
      <c r="C468">
        <v>2021</v>
      </c>
      <c r="D468" t="s">
        <v>103</v>
      </c>
      <c r="E468" t="s">
        <v>228</v>
      </c>
      <c r="F468" t="s">
        <v>33</v>
      </c>
      <c r="G468" t="s">
        <v>39</v>
      </c>
      <c r="H468">
        <v>45.22</v>
      </c>
      <c r="I468">
        <v>264.39999999999998</v>
      </c>
      <c r="J468">
        <v>5847.04</v>
      </c>
      <c r="K468" t="s">
        <v>34</v>
      </c>
      <c r="L468" t="s">
        <v>49</v>
      </c>
      <c r="M468">
        <v>245.63</v>
      </c>
      <c r="N468">
        <v>436.2</v>
      </c>
      <c r="O468" t="s">
        <v>42</v>
      </c>
      <c r="P468">
        <v>31.99</v>
      </c>
      <c r="Q468" t="str">
        <f t="shared" si="56"/>
        <v>2021-06</v>
      </c>
      <c r="R468">
        <f t="shared" si="57"/>
        <v>2366.2167904332168</v>
      </c>
      <c r="S468">
        <f t="shared" si="58"/>
        <v>9.6332564850922804</v>
      </c>
      <c r="T468" t="str">
        <f t="shared" si="59"/>
        <v>Haryana</v>
      </c>
      <c r="U468" t="str">
        <f t="shared" si="60"/>
        <v>Hisar</v>
      </c>
      <c r="V468" t="str">
        <f t="shared" si="61"/>
        <v>Cotton</v>
      </c>
      <c r="W468" t="str">
        <f t="shared" si="62"/>
        <v>Npk</v>
      </c>
      <c r="X468" t="str">
        <f t="shared" si="63"/>
        <v>Cash</v>
      </c>
    </row>
    <row r="469" spans="1:24" x14ac:dyDescent="0.25">
      <c r="A469" t="s">
        <v>534</v>
      </c>
      <c r="B469" s="1">
        <v>43705</v>
      </c>
      <c r="C469">
        <v>2019</v>
      </c>
      <c r="D469" t="s">
        <v>25</v>
      </c>
      <c r="E469" t="s">
        <v>26</v>
      </c>
      <c r="F469" t="s">
        <v>33</v>
      </c>
      <c r="G469" t="s">
        <v>46</v>
      </c>
      <c r="H469">
        <v>75.52</v>
      </c>
      <c r="I469">
        <v>262.64</v>
      </c>
      <c r="J469">
        <v>3477.69</v>
      </c>
      <c r="K469" t="s">
        <v>28</v>
      </c>
      <c r="L469" t="s">
        <v>22</v>
      </c>
      <c r="M469">
        <v>109.49</v>
      </c>
      <c r="N469">
        <v>640.19000000000005</v>
      </c>
      <c r="O469" t="s">
        <v>42</v>
      </c>
      <c r="P469">
        <v>23.16</v>
      </c>
      <c r="Q469" t="str">
        <f t="shared" si="56"/>
        <v>2019-08</v>
      </c>
      <c r="R469">
        <f t="shared" si="57"/>
        <v>1407.3733837842212</v>
      </c>
      <c r="S469">
        <f t="shared" si="58"/>
        <v>12.853898838105957</v>
      </c>
      <c r="T469" t="str">
        <f t="shared" si="59"/>
        <v>Punjab</v>
      </c>
      <c r="U469" t="str">
        <f t="shared" si="60"/>
        <v>Ludhiana</v>
      </c>
      <c r="V469" t="str">
        <f t="shared" si="61"/>
        <v>Sugarcane</v>
      </c>
      <c r="W469" t="str">
        <f t="shared" si="62"/>
        <v>Urea</v>
      </c>
      <c r="X469" t="str">
        <f t="shared" si="63"/>
        <v>Cash</v>
      </c>
    </row>
    <row r="470" spans="1:24" x14ac:dyDescent="0.25">
      <c r="A470" t="s">
        <v>535</v>
      </c>
      <c r="B470" s="1">
        <v>44812</v>
      </c>
      <c r="C470">
        <v>2022</v>
      </c>
      <c r="D470" t="s">
        <v>17</v>
      </c>
      <c r="E470" t="s">
        <v>72</v>
      </c>
      <c r="F470" t="s">
        <v>33</v>
      </c>
      <c r="G470" t="s">
        <v>64</v>
      </c>
      <c r="H470">
        <v>17.59</v>
      </c>
      <c r="I470">
        <v>59.67</v>
      </c>
      <c r="J470">
        <v>3392.47</v>
      </c>
      <c r="K470" t="s">
        <v>34</v>
      </c>
      <c r="L470" t="s">
        <v>29</v>
      </c>
      <c r="M470">
        <v>169.07</v>
      </c>
      <c r="N470">
        <v>1148.25</v>
      </c>
      <c r="O470" t="s">
        <v>61</v>
      </c>
      <c r="P470">
        <v>23.5</v>
      </c>
      <c r="Q470" t="str">
        <f t="shared" si="56"/>
        <v>2022-09</v>
      </c>
      <c r="R470">
        <f t="shared" si="57"/>
        <v>1372.8860201129073</v>
      </c>
      <c r="S470">
        <f t="shared" si="58"/>
        <v>8.1202225120536315</v>
      </c>
      <c r="T470" t="str">
        <f t="shared" si="59"/>
        <v>Uttar Pradesh</v>
      </c>
      <c r="U470" t="str">
        <f t="shared" si="60"/>
        <v>Kanpur</v>
      </c>
      <c r="V470" t="str">
        <f t="shared" si="61"/>
        <v>Wheat</v>
      </c>
      <c r="W470" t="str">
        <f t="shared" si="62"/>
        <v>Compost</v>
      </c>
      <c r="X470" t="str">
        <f t="shared" si="63"/>
        <v>Food</v>
      </c>
    </row>
    <row r="471" spans="1:24" x14ac:dyDescent="0.25">
      <c r="A471" t="s">
        <v>536</v>
      </c>
      <c r="B471" s="1">
        <v>43541</v>
      </c>
      <c r="C471">
        <v>2018</v>
      </c>
      <c r="D471" t="s">
        <v>31</v>
      </c>
      <c r="E471" t="s">
        <v>82</v>
      </c>
      <c r="F471" t="s">
        <v>38</v>
      </c>
      <c r="G471" t="s">
        <v>64</v>
      </c>
      <c r="H471">
        <v>29.59</v>
      </c>
      <c r="I471">
        <v>171.14</v>
      </c>
      <c r="J471">
        <v>5783.85</v>
      </c>
      <c r="K471" t="s">
        <v>28</v>
      </c>
      <c r="L471" t="s">
        <v>49</v>
      </c>
      <c r="M471">
        <v>219.62</v>
      </c>
      <c r="N471">
        <v>1161.76</v>
      </c>
      <c r="O471" t="s">
        <v>23</v>
      </c>
      <c r="P471">
        <v>21.46</v>
      </c>
      <c r="Q471" t="str">
        <f t="shared" si="56"/>
        <v>2019-03</v>
      </c>
      <c r="R471">
        <f t="shared" si="57"/>
        <v>2340.6446652232858</v>
      </c>
      <c r="S471">
        <f t="shared" si="58"/>
        <v>10.657702692028439</v>
      </c>
      <c r="T471" t="str">
        <f t="shared" si="59"/>
        <v>Maharashtra</v>
      </c>
      <c r="U471" t="str">
        <f t="shared" si="60"/>
        <v>Nagpur</v>
      </c>
      <c r="V471" t="str">
        <f t="shared" si="61"/>
        <v>Wheat</v>
      </c>
      <c r="W471" t="str">
        <f t="shared" si="62"/>
        <v>Npk</v>
      </c>
      <c r="X471" t="str">
        <f t="shared" si="63"/>
        <v>Food</v>
      </c>
    </row>
    <row r="472" spans="1:24" x14ac:dyDescent="0.25">
      <c r="A472" t="s">
        <v>537</v>
      </c>
      <c r="B472" s="1">
        <v>43603</v>
      </c>
      <c r="C472">
        <v>2019</v>
      </c>
      <c r="D472" t="s">
        <v>44</v>
      </c>
      <c r="E472" t="s">
        <v>99</v>
      </c>
      <c r="F472" t="s">
        <v>19</v>
      </c>
      <c r="G472" t="s">
        <v>20</v>
      </c>
      <c r="H472">
        <v>34.159999999999997</v>
      </c>
      <c r="I472">
        <v>88.9</v>
      </c>
      <c r="J472">
        <v>2602.5300000000002</v>
      </c>
      <c r="K472" t="s">
        <v>21</v>
      </c>
      <c r="L472" t="s">
        <v>41</v>
      </c>
      <c r="M472">
        <v>113.84</v>
      </c>
      <c r="N472">
        <v>784.18</v>
      </c>
      <c r="O472" t="s">
        <v>52</v>
      </c>
      <c r="P472">
        <v>31.6</v>
      </c>
      <c r="Q472" t="str">
        <f t="shared" si="56"/>
        <v>2019-05</v>
      </c>
      <c r="R472">
        <f t="shared" si="57"/>
        <v>1053.208150381417</v>
      </c>
      <c r="S472">
        <f t="shared" si="58"/>
        <v>9.2516527616076676</v>
      </c>
      <c r="T472" t="str">
        <f t="shared" si="59"/>
        <v>West Bengal</v>
      </c>
      <c r="U472" t="str">
        <f t="shared" si="60"/>
        <v>Howrah</v>
      </c>
      <c r="V472" t="str">
        <f t="shared" si="61"/>
        <v>Maize</v>
      </c>
      <c r="W472" t="str">
        <f t="shared" si="62"/>
        <v>Dap</v>
      </c>
      <c r="X472" t="str">
        <f t="shared" si="63"/>
        <v>Food</v>
      </c>
    </row>
    <row r="473" spans="1:24" x14ac:dyDescent="0.25">
      <c r="A473" t="s">
        <v>538</v>
      </c>
      <c r="B473" s="1">
        <v>43620</v>
      </c>
      <c r="C473">
        <v>2019</v>
      </c>
      <c r="D473" t="s">
        <v>17</v>
      </c>
      <c r="E473" t="s">
        <v>54</v>
      </c>
      <c r="F473" t="s">
        <v>33</v>
      </c>
      <c r="G473" t="s">
        <v>27</v>
      </c>
      <c r="H473">
        <v>34.4</v>
      </c>
      <c r="I473">
        <v>176.87</v>
      </c>
      <c r="J473">
        <v>5141.67</v>
      </c>
      <c r="K473" t="s">
        <v>40</v>
      </c>
      <c r="L473" t="s">
        <v>29</v>
      </c>
      <c r="M473">
        <v>128.32</v>
      </c>
      <c r="N473">
        <v>210.58</v>
      </c>
      <c r="O473" t="s">
        <v>23</v>
      </c>
      <c r="P473">
        <v>32.479999999999997</v>
      </c>
      <c r="Q473" t="str">
        <f t="shared" si="56"/>
        <v>2019-06</v>
      </c>
      <c r="R473">
        <f t="shared" si="57"/>
        <v>2080.7632382995084</v>
      </c>
      <c r="S473">
        <f t="shared" si="58"/>
        <v>16.215424238618365</v>
      </c>
      <c r="T473" t="str">
        <f t="shared" si="59"/>
        <v>Uttar Pradesh</v>
      </c>
      <c r="U473" t="str">
        <f t="shared" si="60"/>
        <v>Varanasi</v>
      </c>
      <c r="V473" t="str">
        <f t="shared" si="61"/>
        <v>Pulses</v>
      </c>
      <c r="W473" t="str">
        <f t="shared" si="62"/>
        <v>Compost</v>
      </c>
      <c r="X473" t="str">
        <f t="shared" si="63"/>
        <v>Food</v>
      </c>
    </row>
    <row r="474" spans="1:24" x14ac:dyDescent="0.25">
      <c r="A474" t="s">
        <v>539</v>
      </c>
      <c r="B474" s="1">
        <v>40672</v>
      </c>
      <c r="C474">
        <v>2011</v>
      </c>
      <c r="D474" t="s">
        <v>25</v>
      </c>
      <c r="E474" t="s">
        <v>69</v>
      </c>
      <c r="F474" t="s">
        <v>19</v>
      </c>
      <c r="G474" t="s">
        <v>46</v>
      </c>
      <c r="H474">
        <v>35.799999999999997</v>
      </c>
      <c r="I474">
        <v>191.58</v>
      </c>
      <c r="J474">
        <v>5351.5</v>
      </c>
      <c r="K474" t="s">
        <v>34</v>
      </c>
      <c r="L474" t="s">
        <v>41</v>
      </c>
      <c r="M474">
        <v>98.27</v>
      </c>
      <c r="N474">
        <v>223.7</v>
      </c>
      <c r="O474" t="s">
        <v>23</v>
      </c>
      <c r="P474">
        <v>20.85</v>
      </c>
      <c r="Q474" t="str">
        <f t="shared" si="56"/>
        <v>2011-05</v>
      </c>
      <c r="R474">
        <f t="shared" si="57"/>
        <v>2165.6785576981447</v>
      </c>
      <c r="S474">
        <f t="shared" si="58"/>
        <v>22.038043733572248</v>
      </c>
      <c r="T474" t="str">
        <f t="shared" si="59"/>
        <v>Punjab</v>
      </c>
      <c r="U474" t="str">
        <f t="shared" si="60"/>
        <v>Patiala</v>
      </c>
      <c r="V474" t="str">
        <f t="shared" si="61"/>
        <v>Sugarcane</v>
      </c>
      <c r="W474" t="str">
        <f t="shared" si="62"/>
        <v>Dap</v>
      </c>
      <c r="X474" t="str">
        <f t="shared" si="63"/>
        <v>Cash</v>
      </c>
    </row>
    <row r="475" spans="1:24" x14ac:dyDescent="0.25">
      <c r="A475" t="s">
        <v>540</v>
      </c>
      <c r="B475" s="1">
        <v>40645</v>
      </c>
      <c r="C475">
        <v>2011</v>
      </c>
      <c r="D475" t="s">
        <v>59</v>
      </c>
      <c r="E475" t="s">
        <v>93</v>
      </c>
      <c r="F475" t="s">
        <v>19</v>
      </c>
      <c r="G475" t="s">
        <v>64</v>
      </c>
      <c r="H475">
        <v>9.5500000000000007</v>
      </c>
      <c r="I475">
        <v>44.2</v>
      </c>
      <c r="J475">
        <v>4628.1099999999997</v>
      </c>
      <c r="K475" t="s">
        <v>28</v>
      </c>
      <c r="L475" t="s">
        <v>22</v>
      </c>
      <c r="M475">
        <v>214.1</v>
      </c>
      <c r="N475">
        <v>1099.9000000000001</v>
      </c>
      <c r="O475" t="s">
        <v>61</v>
      </c>
      <c r="P475">
        <v>32.049999999999997</v>
      </c>
      <c r="Q475" t="str">
        <f t="shared" si="56"/>
        <v>2011-04</v>
      </c>
      <c r="R475">
        <f t="shared" si="57"/>
        <v>1872.9325590336091</v>
      </c>
      <c r="S475">
        <f t="shared" si="58"/>
        <v>8.7479334845100851</v>
      </c>
      <c r="T475" t="str">
        <f t="shared" si="59"/>
        <v>Bihar</v>
      </c>
      <c r="U475" t="str">
        <f t="shared" si="60"/>
        <v>Bhagalpur</v>
      </c>
      <c r="V475" t="str">
        <f t="shared" si="61"/>
        <v>Wheat</v>
      </c>
      <c r="W475" t="str">
        <f t="shared" si="62"/>
        <v>Urea</v>
      </c>
      <c r="X475" t="str">
        <f t="shared" si="63"/>
        <v>Food</v>
      </c>
    </row>
    <row r="476" spans="1:24" x14ac:dyDescent="0.25">
      <c r="A476" t="s">
        <v>541</v>
      </c>
      <c r="B476" s="1">
        <v>42026</v>
      </c>
      <c r="C476">
        <v>2014</v>
      </c>
      <c r="D476" t="s">
        <v>17</v>
      </c>
      <c r="E476" t="s">
        <v>18</v>
      </c>
      <c r="F476" t="s">
        <v>38</v>
      </c>
      <c r="G476" t="s">
        <v>46</v>
      </c>
      <c r="H476">
        <v>66.39</v>
      </c>
      <c r="I476">
        <v>96.55</v>
      </c>
      <c r="J476">
        <v>1454.29</v>
      </c>
      <c r="K476" t="s">
        <v>28</v>
      </c>
      <c r="L476" t="s">
        <v>49</v>
      </c>
      <c r="M476">
        <v>280.67</v>
      </c>
      <c r="N476">
        <v>476.38</v>
      </c>
      <c r="O476" t="s">
        <v>52</v>
      </c>
      <c r="P476">
        <v>30.38</v>
      </c>
      <c r="Q476" t="str">
        <f t="shared" si="56"/>
        <v>2015-01</v>
      </c>
      <c r="R476">
        <f t="shared" si="57"/>
        <v>588.53119119402686</v>
      </c>
      <c r="S476">
        <f t="shared" si="58"/>
        <v>2.0968795781309968</v>
      </c>
      <c r="T476" t="str">
        <f t="shared" si="59"/>
        <v>Uttar Pradesh</v>
      </c>
      <c r="U476" t="str">
        <f t="shared" si="60"/>
        <v>Lucknow</v>
      </c>
      <c r="V476" t="str">
        <f t="shared" si="61"/>
        <v>Sugarcane</v>
      </c>
      <c r="W476" t="str">
        <f t="shared" si="62"/>
        <v>Npk</v>
      </c>
      <c r="X476" t="str">
        <f t="shared" si="63"/>
        <v>Cash</v>
      </c>
    </row>
    <row r="477" spans="1:24" x14ac:dyDescent="0.25">
      <c r="A477" t="s">
        <v>542</v>
      </c>
      <c r="B477" s="1">
        <v>41842</v>
      </c>
      <c r="C477">
        <v>2014</v>
      </c>
      <c r="D477" t="s">
        <v>103</v>
      </c>
      <c r="E477" t="s">
        <v>104</v>
      </c>
      <c r="F477" t="s">
        <v>33</v>
      </c>
      <c r="G477" t="s">
        <v>46</v>
      </c>
      <c r="H477">
        <v>39.47</v>
      </c>
      <c r="I477">
        <v>275.33</v>
      </c>
      <c r="J477">
        <v>6975.75</v>
      </c>
      <c r="K477" t="s">
        <v>34</v>
      </c>
      <c r="L477" t="s">
        <v>47</v>
      </c>
      <c r="M477">
        <v>288.89999999999998</v>
      </c>
      <c r="N477">
        <v>464.66</v>
      </c>
      <c r="O477" t="s">
        <v>52</v>
      </c>
      <c r="P477">
        <v>21.04</v>
      </c>
      <c r="Q477" t="str">
        <f t="shared" si="56"/>
        <v>2014-07</v>
      </c>
      <c r="R477">
        <f t="shared" si="57"/>
        <v>2822.9902268266528</v>
      </c>
      <c r="S477">
        <f t="shared" si="58"/>
        <v>9.7715134192684427</v>
      </c>
      <c r="T477" t="str">
        <f t="shared" si="59"/>
        <v>Haryana</v>
      </c>
      <c r="U477" t="str">
        <f t="shared" si="60"/>
        <v>Gurgaon</v>
      </c>
      <c r="V477" t="str">
        <f t="shared" si="61"/>
        <v>Sugarcane</v>
      </c>
      <c r="W477" t="str">
        <f t="shared" si="62"/>
        <v>Vermicompost</v>
      </c>
      <c r="X477" t="str">
        <f t="shared" si="63"/>
        <v>Cash</v>
      </c>
    </row>
    <row r="478" spans="1:24" x14ac:dyDescent="0.25">
      <c r="A478" t="s">
        <v>543</v>
      </c>
      <c r="B478" s="1">
        <v>44162</v>
      </c>
      <c r="C478">
        <v>2020</v>
      </c>
      <c r="D478" t="s">
        <v>36</v>
      </c>
      <c r="E478" t="s">
        <v>37</v>
      </c>
      <c r="F478" t="s">
        <v>38</v>
      </c>
      <c r="G478" t="s">
        <v>64</v>
      </c>
      <c r="H478">
        <v>15.24</v>
      </c>
      <c r="I478">
        <v>85.53</v>
      </c>
      <c r="J478">
        <v>5612.24</v>
      </c>
      <c r="K478" t="s">
        <v>40</v>
      </c>
      <c r="L478" t="s">
        <v>22</v>
      </c>
      <c r="M478">
        <v>203.49</v>
      </c>
      <c r="N478">
        <v>306.25</v>
      </c>
      <c r="O478" t="s">
        <v>52</v>
      </c>
      <c r="P478">
        <v>30.73</v>
      </c>
      <c r="Q478" t="str">
        <f t="shared" si="56"/>
        <v>2020-11</v>
      </c>
      <c r="R478">
        <f t="shared" si="57"/>
        <v>2271.1964549483014</v>
      </c>
      <c r="S478">
        <f t="shared" si="58"/>
        <v>11.16121900313677</v>
      </c>
      <c r="T478" t="str">
        <f t="shared" si="59"/>
        <v>Karnataka</v>
      </c>
      <c r="U478" t="str">
        <f t="shared" si="60"/>
        <v>Bangalore</v>
      </c>
      <c r="V478" t="str">
        <f t="shared" si="61"/>
        <v>Wheat</v>
      </c>
      <c r="W478" t="str">
        <f t="shared" si="62"/>
        <v>Urea</v>
      </c>
      <c r="X478" t="str">
        <f t="shared" si="63"/>
        <v>Food</v>
      </c>
    </row>
    <row r="479" spans="1:24" x14ac:dyDescent="0.25">
      <c r="A479" t="s">
        <v>544</v>
      </c>
      <c r="B479" s="1">
        <v>43573</v>
      </c>
      <c r="C479">
        <v>2019</v>
      </c>
      <c r="D479" t="s">
        <v>25</v>
      </c>
      <c r="E479" t="s">
        <v>26</v>
      </c>
      <c r="F479" t="s">
        <v>19</v>
      </c>
      <c r="G479" t="s">
        <v>20</v>
      </c>
      <c r="H479">
        <v>77.95</v>
      </c>
      <c r="I479">
        <v>86.73</v>
      </c>
      <c r="J479">
        <v>1112.5899999999999</v>
      </c>
      <c r="K479" t="s">
        <v>28</v>
      </c>
      <c r="L479" t="s">
        <v>41</v>
      </c>
      <c r="M479">
        <v>87.21</v>
      </c>
      <c r="N479">
        <v>840.34</v>
      </c>
      <c r="O479" t="s">
        <v>23</v>
      </c>
      <c r="P479">
        <v>29.97</v>
      </c>
      <c r="Q479" t="str">
        <f t="shared" si="56"/>
        <v>2019-04</v>
      </c>
      <c r="R479">
        <f t="shared" si="57"/>
        <v>450.24989376985491</v>
      </c>
      <c r="S479">
        <f t="shared" si="58"/>
        <v>5.1628241459678357</v>
      </c>
      <c r="T479" t="str">
        <f t="shared" si="59"/>
        <v>Punjab</v>
      </c>
      <c r="U479" t="str">
        <f t="shared" si="60"/>
        <v>Ludhiana</v>
      </c>
      <c r="V479" t="str">
        <f t="shared" si="61"/>
        <v>Maize</v>
      </c>
      <c r="W479" t="str">
        <f t="shared" si="62"/>
        <v>Dap</v>
      </c>
      <c r="X479" t="str">
        <f t="shared" si="63"/>
        <v>Food</v>
      </c>
    </row>
    <row r="480" spans="1:24" x14ac:dyDescent="0.25">
      <c r="A480" t="s">
        <v>545</v>
      </c>
      <c r="B480" s="1">
        <v>42461</v>
      </c>
      <c r="C480">
        <v>2016</v>
      </c>
      <c r="D480" t="s">
        <v>17</v>
      </c>
      <c r="E480" t="s">
        <v>72</v>
      </c>
      <c r="F480" t="s">
        <v>19</v>
      </c>
      <c r="G480" t="s">
        <v>64</v>
      </c>
      <c r="H480">
        <v>52.02</v>
      </c>
      <c r="I480">
        <v>345.39</v>
      </c>
      <c r="J480">
        <v>6639.47</v>
      </c>
      <c r="K480" t="s">
        <v>28</v>
      </c>
      <c r="L480" t="s">
        <v>29</v>
      </c>
      <c r="M480">
        <v>169.53</v>
      </c>
      <c r="N480">
        <v>603.91</v>
      </c>
      <c r="O480" t="s">
        <v>23</v>
      </c>
      <c r="P480">
        <v>28.1</v>
      </c>
      <c r="Q480" t="str">
        <f t="shared" si="56"/>
        <v>2016-04</v>
      </c>
      <c r="R480">
        <f t="shared" si="57"/>
        <v>2686.9023289694665</v>
      </c>
      <c r="S480">
        <f t="shared" si="58"/>
        <v>15.849125989320276</v>
      </c>
      <c r="T480" t="str">
        <f t="shared" si="59"/>
        <v>Uttar Pradesh</v>
      </c>
      <c r="U480" t="str">
        <f t="shared" si="60"/>
        <v>Kanpur</v>
      </c>
      <c r="V480" t="str">
        <f t="shared" si="61"/>
        <v>Wheat</v>
      </c>
      <c r="W480" t="str">
        <f t="shared" si="62"/>
        <v>Compost</v>
      </c>
      <c r="X480" t="str">
        <f t="shared" si="63"/>
        <v>Food</v>
      </c>
    </row>
    <row r="481" spans="1:24" x14ac:dyDescent="0.25">
      <c r="A481" t="s">
        <v>546</v>
      </c>
      <c r="B481" s="1">
        <v>40688</v>
      </c>
      <c r="C481">
        <v>2011</v>
      </c>
      <c r="D481" t="s">
        <v>17</v>
      </c>
      <c r="E481" t="s">
        <v>72</v>
      </c>
      <c r="F481" t="s">
        <v>19</v>
      </c>
      <c r="G481" t="s">
        <v>27</v>
      </c>
      <c r="H481">
        <v>93.57</v>
      </c>
      <c r="I481">
        <v>295.07</v>
      </c>
      <c r="J481">
        <v>3153.51</v>
      </c>
      <c r="K481" t="s">
        <v>34</v>
      </c>
      <c r="L481" t="s">
        <v>49</v>
      </c>
      <c r="M481">
        <v>150.15</v>
      </c>
      <c r="N481">
        <v>832.27</v>
      </c>
      <c r="O481" t="s">
        <v>23</v>
      </c>
      <c r="P481">
        <v>25.48</v>
      </c>
      <c r="Q481" t="str">
        <f t="shared" si="56"/>
        <v>2011-05</v>
      </c>
      <c r="R481">
        <f t="shared" si="57"/>
        <v>1276.1821897573907</v>
      </c>
      <c r="S481">
        <f t="shared" si="58"/>
        <v>8.4993818831661052</v>
      </c>
      <c r="T481" t="str">
        <f t="shared" si="59"/>
        <v>Uttar Pradesh</v>
      </c>
      <c r="U481" t="str">
        <f t="shared" si="60"/>
        <v>Kanpur</v>
      </c>
      <c r="V481" t="str">
        <f t="shared" si="61"/>
        <v>Pulses</v>
      </c>
      <c r="W481" t="str">
        <f t="shared" si="62"/>
        <v>Npk</v>
      </c>
      <c r="X481" t="str">
        <f t="shared" si="63"/>
        <v>Food</v>
      </c>
    </row>
    <row r="482" spans="1:24" x14ac:dyDescent="0.25">
      <c r="A482" t="s">
        <v>547</v>
      </c>
      <c r="B482" s="1">
        <v>44957</v>
      </c>
      <c r="C482">
        <v>2022</v>
      </c>
      <c r="D482" t="s">
        <v>25</v>
      </c>
      <c r="E482" t="s">
        <v>87</v>
      </c>
      <c r="F482" t="s">
        <v>38</v>
      </c>
      <c r="G482" t="s">
        <v>39</v>
      </c>
      <c r="H482">
        <v>21.11</v>
      </c>
      <c r="I482">
        <v>91.34</v>
      </c>
      <c r="J482">
        <v>4326.8500000000004</v>
      </c>
      <c r="K482" t="s">
        <v>28</v>
      </c>
      <c r="L482" t="s">
        <v>29</v>
      </c>
      <c r="M482">
        <v>215.18</v>
      </c>
      <c r="N482">
        <v>498.87</v>
      </c>
      <c r="O482" t="s">
        <v>52</v>
      </c>
      <c r="P482">
        <v>33.450000000000003</v>
      </c>
      <c r="Q482" t="str">
        <f t="shared" si="56"/>
        <v>2023-01</v>
      </c>
      <c r="R482">
        <f t="shared" si="57"/>
        <v>1751.0167742457661</v>
      </c>
      <c r="S482">
        <f t="shared" si="58"/>
        <v>8.1374513163201314</v>
      </c>
      <c r="T482" t="str">
        <f t="shared" si="59"/>
        <v>Punjab</v>
      </c>
      <c r="U482" t="str">
        <f t="shared" si="60"/>
        <v>Amritsar</v>
      </c>
      <c r="V482" t="str">
        <f t="shared" si="61"/>
        <v>Cotton</v>
      </c>
      <c r="W482" t="str">
        <f t="shared" si="62"/>
        <v>Compost</v>
      </c>
      <c r="X482" t="str">
        <f t="shared" si="63"/>
        <v>Cash</v>
      </c>
    </row>
    <row r="483" spans="1:24" x14ac:dyDescent="0.25">
      <c r="A483" t="s">
        <v>548</v>
      </c>
      <c r="B483" s="1">
        <v>42857</v>
      </c>
      <c r="C483">
        <v>2017</v>
      </c>
      <c r="D483" t="s">
        <v>25</v>
      </c>
      <c r="E483" t="s">
        <v>69</v>
      </c>
      <c r="F483" t="s">
        <v>19</v>
      </c>
      <c r="G483" t="s">
        <v>56</v>
      </c>
      <c r="H483">
        <v>14.85</v>
      </c>
      <c r="I483">
        <v>32.049999999999997</v>
      </c>
      <c r="J483">
        <v>2158.56</v>
      </c>
      <c r="K483" t="s">
        <v>40</v>
      </c>
      <c r="L483" t="s">
        <v>47</v>
      </c>
      <c r="M483">
        <v>172.31</v>
      </c>
      <c r="N483">
        <v>262.99</v>
      </c>
      <c r="O483" t="s">
        <v>61</v>
      </c>
      <c r="P483">
        <v>29.65</v>
      </c>
      <c r="Q483" t="str">
        <f t="shared" si="56"/>
        <v>2017-05</v>
      </c>
      <c r="R483">
        <f t="shared" si="57"/>
        <v>873.53958843406645</v>
      </c>
      <c r="S483">
        <f t="shared" si="58"/>
        <v>5.069581500981176</v>
      </c>
      <c r="T483" t="str">
        <f t="shared" si="59"/>
        <v>Punjab</v>
      </c>
      <c r="U483" t="str">
        <f t="shared" si="60"/>
        <v>Patiala</v>
      </c>
      <c r="V483" t="str">
        <f t="shared" si="61"/>
        <v>Rice</v>
      </c>
      <c r="W483" t="str">
        <f t="shared" si="62"/>
        <v>Vermicompost</v>
      </c>
      <c r="X483" t="str">
        <f t="shared" si="63"/>
        <v>Food</v>
      </c>
    </row>
    <row r="484" spans="1:24" x14ac:dyDescent="0.25">
      <c r="A484" t="s">
        <v>549</v>
      </c>
      <c r="B484" s="1">
        <v>40467</v>
      </c>
      <c r="C484">
        <v>2010</v>
      </c>
      <c r="D484" t="s">
        <v>44</v>
      </c>
      <c r="E484" t="s">
        <v>99</v>
      </c>
      <c r="F484" t="s">
        <v>33</v>
      </c>
      <c r="G484" t="s">
        <v>20</v>
      </c>
      <c r="H484">
        <v>6.55</v>
      </c>
      <c r="I484">
        <v>37.51</v>
      </c>
      <c r="J484">
        <v>5726.67</v>
      </c>
      <c r="K484" t="s">
        <v>21</v>
      </c>
      <c r="L484" t="s">
        <v>41</v>
      </c>
      <c r="M484">
        <v>151.38</v>
      </c>
      <c r="N484">
        <v>411.68</v>
      </c>
      <c r="O484" t="s">
        <v>61</v>
      </c>
      <c r="P484">
        <v>26.88</v>
      </c>
      <c r="Q484" t="str">
        <f t="shared" si="56"/>
        <v>2010-10</v>
      </c>
      <c r="R484">
        <f t="shared" si="57"/>
        <v>2317.5047044778535</v>
      </c>
      <c r="S484">
        <f t="shared" si="58"/>
        <v>15.309186844218877</v>
      </c>
      <c r="T484" t="str">
        <f t="shared" si="59"/>
        <v>West Bengal</v>
      </c>
      <c r="U484" t="str">
        <f t="shared" si="60"/>
        <v>Howrah</v>
      </c>
      <c r="V484" t="str">
        <f t="shared" si="61"/>
        <v>Maize</v>
      </c>
      <c r="W484" t="str">
        <f t="shared" si="62"/>
        <v>Dap</v>
      </c>
      <c r="X484" t="str">
        <f t="shared" si="63"/>
        <v>Food</v>
      </c>
    </row>
    <row r="485" spans="1:24" x14ac:dyDescent="0.25">
      <c r="A485" t="s">
        <v>550</v>
      </c>
      <c r="B485" s="1">
        <v>41459</v>
      </c>
      <c r="C485">
        <v>2013</v>
      </c>
      <c r="D485" t="s">
        <v>17</v>
      </c>
      <c r="E485" t="s">
        <v>54</v>
      </c>
      <c r="F485" t="s">
        <v>33</v>
      </c>
      <c r="G485" t="s">
        <v>64</v>
      </c>
      <c r="H485">
        <v>73.81</v>
      </c>
      <c r="I485">
        <v>290.32</v>
      </c>
      <c r="J485">
        <v>3933.37</v>
      </c>
      <c r="K485" t="s">
        <v>21</v>
      </c>
      <c r="L485" t="s">
        <v>22</v>
      </c>
      <c r="M485">
        <v>167.8</v>
      </c>
      <c r="N485">
        <v>1118.02</v>
      </c>
      <c r="O485" t="s">
        <v>23</v>
      </c>
      <c r="P485">
        <v>23.64</v>
      </c>
      <c r="Q485" t="str">
        <f t="shared" si="56"/>
        <v>2013-07</v>
      </c>
      <c r="R485">
        <f t="shared" si="57"/>
        <v>1591.7808219178082</v>
      </c>
      <c r="S485">
        <f t="shared" si="58"/>
        <v>9.4861789148856257</v>
      </c>
      <c r="T485" t="str">
        <f t="shared" si="59"/>
        <v>Uttar Pradesh</v>
      </c>
      <c r="U485" t="str">
        <f t="shared" si="60"/>
        <v>Varanasi</v>
      </c>
      <c r="V485" t="str">
        <f t="shared" si="61"/>
        <v>Wheat</v>
      </c>
      <c r="W485" t="str">
        <f t="shared" si="62"/>
        <v>Urea</v>
      </c>
      <c r="X485" t="str">
        <f t="shared" si="63"/>
        <v>Food</v>
      </c>
    </row>
    <row r="486" spans="1:24" x14ac:dyDescent="0.25">
      <c r="A486" t="s">
        <v>551</v>
      </c>
      <c r="B486" s="1">
        <v>40539</v>
      </c>
      <c r="C486">
        <v>2010</v>
      </c>
      <c r="D486" t="s">
        <v>103</v>
      </c>
      <c r="E486" t="s">
        <v>228</v>
      </c>
      <c r="F486" t="s">
        <v>38</v>
      </c>
      <c r="G486" t="s">
        <v>64</v>
      </c>
      <c r="H486">
        <v>46.16</v>
      </c>
      <c r="I486">
        <v>93.43</v>
      </c>
      <c r="J486">
        <v>2024.14</v>
      </c>
      <c r="K486" t="s">
        <v>21</v>
      </c>
      <c r="L486" t="s">
        <v>22</v>
      </c>
      <c r="M486">
        <v>254.45</v>
      </c>
      <c r="N486">
        <v>306.33</v>
      </c>
      <c r="O486" t="s">
        <v>52</v>
      </c>
      <c r="P486">
        <v>28.92</v>
      </c>
      <c r="Q486" t="str">
        <f t="shared" si="56"/>
        <v>2010-12</v>
      </c>
      <c r="R486">
        <f t="shared" si="57"/>
        <v>819.14166042775344</v>
      </c>
      <c r="S486">
        <f t="shared" si="58"/>
        <v>3.2192637470141618</v>
      </c>
      <c r="T486" t="str">
        <f t="shared" si="59"/>
        <v>Haryana</v>
      </c>
      <c r="U486" t="str">
        <f t="shared" si="60"/>
        <v>Hisar</v>
      </c>
      <c r="V486" t="str">
        <f t="shared" si="61"/>
        <v>Wheat</v>
      </c>
      <c r="W486" t="str">
        <f t="shared" si="62"/>
        <v>Urea</v>
      </c>
      <c r="X486" t="str">
        <f t="shared" si="63"/>
        <v>Food</v>
      </c>
    </row>
    <row r="487" spans="1:24" x14ac:dyDescent="0.25">
      <c r="A487" t="s">
        <v>552</v>
      </c>
      <c r="B487" s="1">
        <v>42719</v>
      </c>
      <c r="C487">
        <v>2016</v>
      </c>
      <c r="D487" t="s">
        <v>44</v>
      </c>
      <c r="E487" t="s">
        <v>45</v>
      </c>
      <c r="F487" t="s">
        <v>38</v>
      </c>
      <c r="G487" t="s">
        <v>39</v>
      </c>
      <c r="H487">
        <v>68.16</v>
      </c>
      <c r="I487">
        <v>200.76</v>
      </c>
      <c r="J487">
        <v>2945.41</v>
      </c>
      <c r="K487" t="s">
        <v>40</v>
      </c>
      <c r="L487" t="s">
        <v>49</v>
      </c>
      <c r="M487">
        <v>130.4</v>
      </c>
      <c r="N487">
        <v>1164.69</v>
      </c>
      <c r="O487" t="s">
        <v>42</v>
      </c>
      <c r="P487">
        <v>31.46</v>
      </c>
      <c r="Q487" t="str">
        <f t="shared" si="56"/>
        <v>2016-12</v>
      </c>
      <c r="R487">
        <f t="shared" si="57"/>
        <v>1191.9669776006151</v>
      </c>
      <c r="S487">
        <f t="shared" si="58"/>
        <v>9.1408510552194411</v>
      </c>
      <c r="T487" t="str">
        <f t="shared" si="59"/>
        <v>West Bengal</v>
      </c>
      <c r="U487" t="str">
        <f t="shared" si="60"/>
        <v>Kolkata</v>
      </c>
      <c r="V487" t="str">
        <f t="shared" si="61"/>
        <v>Cotton</v>
      </c>
      <c r="W487" t="str">
        <f t="shared" si="62"/>
        <v>Npk</v>
      </c>
      <c r="X487" t="str">
        <f t="shared" si="63"/>
        <v>Cash</v>
      </c>
    </row>
    <row r="488" spans="1:24" x14ac:dyDescent="0.25">
      <c r="A488" t="s">
        <v>553</v>
      </c>
      <c r="B488" s="1">
        <v>41887</v>
      </c>
      <c r="C488">
        <v>2014</v>
      </c>
      <c r="D488" t="s">
        <v>25</v>
      </c>
      <c r="E488" t="s">
        <v>26</v>
      </c>
      <c r="F488" t="s">
        <v>33</v>
      </c>
      <c r="G488" t="s">
        <v>46</v>
      </c>
      <c r="H488">
        <v>17.64</v>
      </c>
      <c r="I488">
        <v>56.79</v>
      </c>
      <c r="J488">
        <v>3219.56</v>
      </c>
      <c r="K488" t="s">
        <v>40</v>
      </c>
      <c r="L488" t="s">
        <v>41</v>
      </c>
      <c r="M488">
        <v>159.66999999999999</v>
      </c>
      <c r="N488">
        <v>1125.68</v>
      </c>
      <c r="O488" t="s">
        <v>23</v>
      </c>
      <c r="P488">
        <v>22</v>
      </c>
      <c r="Q488" t="str">
        <f t="shared" si="56"/>
        <v>2014-09</v>
      </c>
      <c r="R488">
        <f t="shared" si="57"/>
        <v>1302.9117176908601</v>
      </c>
      <c r="S488">
        <f t="shared" si="58"/>
        <v>8.1600282939240945</v>
      </c>
      <c r="T488" t="str">
        <f t="shared" si="59"/>
        <v>Punjab</v>
      </c>
      <c r="U488" t="str">
        <f t="shared" si="60"/>
        <v>Ludhiana</v>
      </c>
      <c r="V488" t="str">
        <f t="shared" si="61"/>
        <v>Sugarcane</v>
      </c>
      <c r="W488" t="str">
        <f t="shared" si="62"/>
        <v>Dap</v>
      </c>
      <c r="X488" t="str">
        <f t="shared" si="63"/>
        <v>Cash</v>
      </c>
    </row>
    <row r="489" spans="1:24" x14ac:dyDescent="0.25">
      <c r="A489" t="s">
        <v>554</v>
      </c>
      <c r="B489" s="1">
        <v>40747</v>
      </c>
      <c r="C489">
        <v>2011</v>
      </c>
      <c r="D489" t="s">
        <v>25</v>
      </c>
      <c r="E489" t="s">
        <v>87</v>
      </c>
      <c r="F489" t="s">
        <v>33</v>
      </c>
      <c r="G489" t="s">
        <v>64</v>
      </c>
      <c r="H489">
        <v>18.760000000000002</v>
      </c>
      <c r="I489">
        <v>28.79</v>
      </c>
      <c r="J489">
        <v>1534.85</v>
      </c>
      <c r="K489" t="s">
        <v>34</v>
      </c>
      <c r="L489" t="s">
        <v>41</v>
      </c>
      <c r="M489">
        <v>154.06</v>
      </c>
      <c r="N489">
        <v>1007.41</v>
      </c>
      <c r="O489" t="s">
        <v>52</v>
      </c>
      <c r="P489">
        <v>30.39</v>
      </c>
      <c r="Q489" t="str">
        <f t="shared" si="56"/>
        <v>2011-07</v>
      </c>
      <c r="R489">
        <f t="shared" si="57"/>
        <v>621.13271686125324</v>
      </c>
      <c r="S489">
        <f t="shared" si="58"/>
        <v>4.0317585152619317</v>
      </c>
      <c r="T489" t="str">
        <f t="shared" si="59"/>
        <v>Punjab</v>
      </c>
      <c r="U489" t="str">
        <f t="shared" si="60"/>
        <v>Amritsar</v>
      </c>
      <c r="V489" t="str">
        <f t="shared" si="61"/>
        <v>Wheat</v>
      </c>
      <c r="W489" t="str">
        <f t="shared" si="62"/>
        <v>Dap</v>
      </c>
      <c r="X489" t="str">
        <f t="shared" si="63"/>
        <v>Food</v>
      </c>
    </row>
    <row r="490" spans="1:24" x14ac:dyDescent="0.25">
      <c r="A490" t="s">
        <v>555</v>
      </c>
      <c r="B490" s="1">
        <v>43482</v>
      </c>
      <c r="C490">
        <v>2018</v>
      </c>
      <c r="D490" t="s">
        <v>17</v>
      </c>
      <c r="E490" t="s">
        <v>72</v>
      </c>
      <c r="F490" t="s">
        <v>38</v>
      </c>
      <c r="G490" t="s">
        <v>46</v>
      </c>
      <c r="H490">
        <v>24.69</v>
      </c>
      <c r="I490">
        <v>50.55</v>
      </c>
      <c r="J490">
        <v>2047.29</v>
      </c>
      <c r="K490" t="s">
        <v>21</v>
      </c>
      <c r="L490" t="s">
        <v>49</v>
      </c>
      <c r="M490">
        <v>199.07</v>
      </c>
      <c r="N490">
        <v>917.2</v>
      </c>
      <c r="O490" t="s">
        <v>61</v>
      </c>
      <c r="P490">
        <v>34.25</v>
      </c>
      <c r="Q490" t="str">
        <f t="shared" si="56"/>
        <v>2019-01</v>
      </c>
      <c r="R490">
        <f t="shared" si="57"/>
        <v>828.51014750814431</v>
      </c>
      <c r="S490">
        <f t="shared" si="58"/>
        <v>4.1619035892306444</v>
      </c>
      <c r="T490" t="str">
        <f t="shared" si="59"/>
        <v>Uttar Pradesh</v>
      </c>
      <c r="U490" t="str">
        <f t="shared" si="60"/>
        <v>Kanpur</v>
      </c>
      <c r="V490" t="str">
        <f t="shared" si="61"/>
        <v>Sugarcane</v>
      </c>
      <c r="W490" t="str">
        <f t="shared" si="62"/>
        <v>Npk</v>
      </c>
      <c r="X490" t="str">
        <f t="shared" si="63"/>
        <v>Cash</v>
      </c>
    </row>
    <row r="491" spans="1:24" x14ac:dyDescent="0.25">
      <c r="A491" t="s">
        <v>556</v>
      </c>
      <c r="B491" s="1">
        <v>43370</v>
      </c>
      <c r="C491">
        <v>2018</v>
      </c>
      <c r="D491" t="s">
        <v>36</v>
      </c>
      <c r="E491" t="s">
        <v>37</v>
      </c>
      <c r="F491" t="s">
        <v>33</v>
      </c>
      <c r="G491" t="s">
        <v>56</v>
      </c>
      <c r="H491">
        <v>12.63</v>
      </c>
      <c r="I491">
        <v>52.81</v>
      </c>
      <c r="J491">
        <v>4181.1899999999996</v>
      </c>
      <c r="K491" t="s">
        <v>21</v>
      </c>
      <c r="L491" t="s">
        <v>41</v>
      </c>
      <c r="M491">
        <v>204.73</v>
      </c>
      <c r="N491">
        <v>1062.73</v>
      </c>
      <c r="O491" t="s">
        <v>61</v>
      </c>
      <c r="P491">
        <v>27.61</v>
      </c>
      <c r="Q491" t="str">
        <f t="shared" si="56"/>
        <v>2018-09</v>
      </c>
      <c r="R491">
        <f t="shared" si="57"/>
        <v>1692.0701725986928</v>
      </c>
      <c r="S491">
        <f t="shared" si="58"/>
        <v>8.2648863019522931</v>
      </c>
      <c r="T491" t="str">
        <f t="shared" si="59"/>
        <v>Karnataka</v>
      </c>
      <c r="U491" t="str">
        <f t="shared" si="60"/>
        <v>Bangalore</v>
      </c>
      <c r="V491" t="str">
        <f t="shared" si="61"/>
        <v>Rice</v>
      </c>
      <c r="W491" t="str">
        <f t="shared" si="62"/>
        <v>Dap</v>
      </c>
      <c r="X491" t="str">
        <f t="shared" si="63"/>
        <v>Food</v>
      </c>
    </row>
    <row r="492" spans="1:24" x14ac:dyDescent="0.25">
      <c r="A492" t="s">
        <v>557</v>
      </c>
      <c r="B492" s="1">
        <v>41519</v>
      </c>
      <c r="C492">
        <v>2013</v>
      </c>
      <c r="D492" t="s">
        <v>31</v>
      </c>
      <c r="E492" t="s">
        <v>82</v>
      </c>
      <c r="F492" t="s">
        <v>33</v>
      </c>
      <c r="G492" t="s">
        <v>56</v>
      </c>
      <c r="H492">
        <v>68.84</v>
      </c>
      <c r="I492">
        <v>468.9</v>
      </c>
      <c r="J492">
        <v>6811.44</v>
      </c>
      <c r="K492" t="s">
        <v>28</v>
      </c>
      <c r="L492" t="s">
        <v>49</v>
      </c>
      <c r="M492">
        <v>174.38</v>
      </c>
      <c r="N492">
        <v>359.76</v>
      </c>
      <c r="O492" t="s">
        <v>23</v>
      </c>
      <c r="P492">
        <v>20.81</v>
      </c>
      <c r="Q492" t="str">
        <f t="shared" si="56"/>
        <v>2013-09</v>
      </c>
      <c r="R492">
        <f t="shared" si="57"/>
        <v>2756.4962263005605</v>
      </c>
      <c r="S492">
        <f t="shared" si="58"/>
        <v>15.807410404292698</v>
      </c>
      <c r="T492" t="str">
        <f t="shared" si="59"/>
        <v>Maharashtra</v>
      </c>
      <c r="U492" t="str">
        <f t="shared" si="60"/>
        <v>Nagpur</v>
      </c>
      <c r="V492" t="str">
        <f t="shared" si="61"/>
        <v>Rice</v>
      </c>
      <c r="W492" t="str">
        <f t="shared" si="62"/>
        <v>Npk</v>
      </c>
      <c r="X492" t="str">
        <f t="shared" si="63"/>
        <v>Food</v>
      </c>
    </row>
    <row r="493" spans="1:24" x14ac:dyDescent="0.25">
      <c r="A493" t="s">
        <v>558</v>
      </c>
      <c r="B493" s="1">
        <v>41951</v>
      </c>
      <c r="C493">
        <v>2014</v>
      </c>
      <c r="D493" t="s">
        <v>103</v>
      </c>
      <c r="E493" t="s">
        <v>107</v>
      </c>
      <c r="F493" t="s">
        <v>38</v>
      </c>
      <c r="G493" t="s">
        <v>27</v>
      </c>
      <c r="H493">
        <v>80.709999999999994</v>
      </c>
      <c r="I493">
        <v>447.98</v>
      </c>
      <c r="J493">
        <v>5550.45</v>
      </c>
      <c r="K493" t="s">
        <v>21</v>
      </c>
      <c r="L493" t="s">
        <v>29</v>
      </c>
      <c r="M493">
        <v>76.11</v>
      </c>
      <c r="N493">
        <v>252.46</v>
      </c>
      <c r="O493" t="s">
        <v>61</v>
      </c>
      <c r="P493">
        <v>22.64</v>
      </c>
      <c r="Q493" t="str">
        <f t="shared" si="56"/>
        <v>2014-11</v>
      </c>
      <c r="R493">
        <f t="shared" si="57"/>
        <v>2246.1908905121304</v>
      </c>
      <c r="S493">
        <f t="shared" si="58"/>
        <v>29.512427939983318</v>
      </c>
      <c r="T493" t="str">
        <f t="shared" si="59"/>
        <v>Haryana</v>
      </c>
      <c r="U493" t="str">
        <f t="shared" si="60"/>
        <v>Faridabad</v>
      </c>
      <c r="V493" t="str">
        <f t="shared" si="61"/>
        <v>Pulses</v>
      </c>
      <c r="W493" t="str">
        <f t="shared" si="62"/>
        <v>Compost</v>
      </c>
      <c r="X493" t="str">
        <f t="shared" si="63"/>
        <v>Food</v>
      </c>
    </row>
    <row r="494" spans="1:24" x14ac:dyDescent="0.25">
      <c r="A494" t="s">
        <v>559</v>
      </c>
      <c r="B494" s="1">
        <v>40723</v>
      </c>
      <c r="C494">
        <v>2011</v>
      </c>
      <c r="D494" t="s">
        <v>59</v>
      </c>
      <c r="E494" t="s">
        <v>60</v>
      </c>
      <c r="F494" t="s">
        <v>33</v>
      </c>
      <c r="G494" t="s">
        <v>39</v>
      </c>
      <c r="H494">
        <v>45.04</v>
      </c>
      <c r="I494">
        <v>201.71</v>
      </c>
      <c r="J494">
        <v>4478.57</v>
      </c>
      <c r="K494" t="s">
        <v>28</v>
      </c>
      <c r="L494" t="s">
        <v>49</v>
      </c>
      <c r="M494">
        <v>99.69</v>
      </c>
      <c r="N494">
        <v>876.85</v>
      </c>
      <c r="O494" t="s">
        <v>70</v>
      </c>
      <c r="P494">
        <v>23.45</v>
      </c>
      <c r="Q494" t="str">
        <f t="shared" si="56"/>
        <v>2011-06</v>
      </c>
      <c r="R494">
        <f t="shared" si="57"/>
        <v>1812.4157746706865</v>
      </c>
      <c r="S494">
        <f t="shared" si="58"/>
        <v>18.180517350493396</v>
      </c>
      <c r="T494" t="str">
        <f t="shared" si="59"/>
        <v>Bihar</v>
      </c>
      <c r="U494" t="str">
        <f t="shared" si="60"/>
        <v>Patna</v>
      </c>
      <c r="V494" t="str">
        <f t="shared" si="61"/>
        <v>Cotton</v>
      </c>
      <c r="W494" t="str">
        <f t="shared" si="62"/>
        <v>Npk</v>
      </c>
      <c r="X494" t="str">
        <f t="shared" si="63"/>
        <v>Cash</v>
      </c>
    </row>
    <row r="495" spans="1:24" x14ac:dyDescent="0.25">
      <c r="A495" t="s">
        <v>560</v>
      </c>
      <c r="B495" s="1">
        <v>41374</v>
      </c>
      <c r="C495">
        <v>2013</v>
      </c>
      <c r="D495" t="s">
        <v>103</v>
      </c>
      <c r="E495" t="s">
        <v>104</v>
      </c>
      <c r="F495" t="s">
        <v>19</v>
      </c>
      <c r="G495" t="s">
        <v>46</v>
      </c>
      <c r="H495">
        <v>87.12</v>
      </c>
      <c r="I495">
        <v>283.42</v>
      </c>
      <c r="J495">
        <v>3253.19</v>
      </c>
      <c r="K495" t="s">
        <v>40</v>
      </c>
      <c r="L495" t="s">
        <v>41</v>
      </c>
      <c r="M495">
        <v>68.38</v>
      </c>
      <c r="N495">
        <v>785.09</v>
      </c>
      <c r="O495" t="s">
        <v>23</v>
      </c>
      <c r="P495">
        <v>33.36</v>
      </c>
      <c r="Q495" t="str">
        <f t="shared" si="56"/>
        <v>2013-04</v>
      </c>
      <c r="R495">
        <f t="shared" si="57"/>
        <v>1316.5213168491127</v>
      </c>
      <c r="S495">
        <f t="shared" si="58"/>
        <v>19.253017210428677</v>
      </c>
      <c r="T495" t="str">
        <f t="shared" si="59"/>
        <v>Haryana</v>
      </c>
      <c r="U495" t="str">
        <f t="shared" si="60"/>
        <v>Gurgaon</v>
      </c>
      <c r="V495" t="str">
        <f t="shared" si="61"/>
        <v>Sugarcane</v>
      </c>
      <c r="W495" t="str">
        <f t="shared" si="62"/>
        <v>Dap</v>
      </c>
      <c r="X495" t="str">
        <f t="shared" si="63"/>
        <v>Cash</v>
      </c>
    </row>
    <row r="496" spans="1:24" x14ac:dyDescent="0.25">
      <c r="A496" t="s">
        <v>561</v>
      </c>
      <c r="B496" s="1">
        <v>41359</v>
      </c>
      <c r="C496">
        <v>2012</v>
      </c>
      <c r="D496" t="s">
        <v>59</v>
      </c>
      <c r="E496" t="s">
        <v>63</v>
      </c>
      <c r="F496" t="s">
        <v>38</v>
      </c>
      <c r="G496" t="s">
        <v>20</v>
      </c>
      <c r="H496">
        <v>14.5</v>
      </c>
      <c r="I496">
        <v>77.12</v>
      </c>
      <c r="J496">
        <v>5318.93</v>
      </c>
      <c r="K496" t="s">
        <v>34</v>
      </c>
      <c r="L496" t="s">
        <v>22</v>
      </c>
      <c r="M496">
        <v>293.89</v>
      </c>
      <c r="N496">
        <v>402.21</v>
      </c>
      <c r="O496" t="s">
        <v>42</v>
      </c>
      <c r="P496">
        <v>20.48</v>
      </c>
      <c r="Q496" t="str">
        <f t="shared" si="56"/>
        <v>2013-03</v>
      </c>
      <c r="R496">
        <f t="shared" si="57"/>
        <v>2152.497925982882</v>
      </c>
      <c r="S496">
        <f t="shared" si="58"/>
        <v>7.3241618496133993</v>
      </c>
      <c r="T496" t="str">
        <f t="shared" si="59"/>
        <v>Bihar</v>
      </c>
      <c r="U496" t="str">
        <f t="shared" si="60"/>
        <v>Gaya</v>
      </c>
      <c r="V496" t="str">
        <f t="shared" si="61"/>
        <v>Maize</v>
      </c>
      <c r="W496" t="str">
        <f t="shared" si="62"/>
        <v>Urea</v>
      </c>
      <c r="X496" t="str">
        <f t="shared" si="63"/>
        <v>Food</v>
      </c>
    </row>
    <row r="497" spans="1:24" x14ac:dyDescent="0.25">
      <c r="A497" t="s">
        <v>562</v>
      </c>
      <c r="B497" s="1">
        <v>40995</v>
      </c>
      <c r="C497">
        <v>2011</v>
      </c>
      <c r="D497" t="s">
        <v>31</v>
      </c>
      <c r="E497" t="s">
        <v>82</v>
      </c>
      <c r="F497" t="s">
        <v>38</v>
      </c>
      <c r="G497" t="s">
        <v>46</v>
      </c>
      <c r="H497">
        <v>42.4</v>
      </c>
      <c r="I497">
        <v>235.83</v>
      </c>
      <c r="J497">
        <v>5562.04</v>
      </c>
      <c r="K497" t="s">
        <v>40</v>
      </c>
      <c r="L497" t="s">
        <v>47</v>
      </c>
      <c r="M497">
        <v>271.60000000000002</v>
      </c>
      <c r="N497">
        <v>803.64</v>
      </c>
      <c r="O497" t="s">
        <v>61</v>
      </c>
      <c r="P497">
        <v>33.58</v>
      </c>
      <c r="Q497" t="str">
        <f t="shared" si="56"/>
        <v>2012-03</v>
      </c>
      <c r="R497">
        <f t="shared" si="57"/>
        <v>2250.8812043463304</v>
      </c>
      <c r="S497">
        <f t="shared" si="58"/>
        <v>8.2874860248392128</v>
      </c>
      <c r="T497" t="str">
        <f t="shared" si="59"/>
        <v>Maharashtra</v>
      </c>
      <c r="U497" t="str">
        <f t="shared" si="60"/>
        <v>Nagpur</v>
      </c>
      <c r="V497" t="str">
        <f t="shared" si="61"/>
        <v>Sugarcane</v>
      </c>
      <c r="W497" t="str">
        <f t="shared" si="62"/>
        <v>Vermicompost</v>
      </c>
      <c r="X497" t="str">
        <f t="shared" si="63"/>
        <v>Cash</v>
      </c>
    </row>
    <row r="498" spans="1:24" x14ac:dyDescent="0.25">
      <c r="A498" t="s">
        <v>563</v>
      </c>
      <c r="B498" s="1">
        <v>40911</v>
      </c>
      <c r="C498">
        <v>2011</v>
      </c>
      <c r="D498" t="s">
        <v>44</v>
      </c>
      <c r="E498" t="s">
        <v>45</v>
      </c>
      <c r="F498" t="s">
        <v>38</v>
      </c>
      <c r="G498" t="s">
        <v>27</v>
      </c>
      <c r="H498">
        <v>49.43</v>
      </c>
      <c r="I498">
        <v>344.72</v>
      </c>
      <c r="J498">
        <v>6973.99</v>
      </c>
      <c r="K498" t="s">
        <v>28</v>
      </c>
      <c r="L498" t="s">
        <v>41</v>
      </c>
      <c r="M498">
        <v>259.25</v>
      </c>
      <c r="N498">
        <v>479.17</v>
      </c>
      <c r="O498" t="s">
        <v>52</v>
      </c>
      <c r="P498">
        <v>31.04</v>
      </c>
      <c r="Q498" t="str">
        <f t="shared" si="56"/>
        <v>2012-01</v>
      </c>
      <c r="R498">
        <f t="shared" si="57"/>
        <v>2822.2779789967826</v>
      </c>
      <c r="S498">
        <f t="shared" si="58"/>
        <v>10.886318144635613</v>
      </c>
      <c r="T498" t="str">
        <f t="shared" si="59"/>
        <v>West Bengal</v>
      </c>
      <c r="U498" t="str">
        <f t="shared" si="60"/>
        <v>Kolkata</v>
      </c>
      <c r="V498" t="str">
        <f t="shared" si="61"/>
        <v>Pulses</v>
      </c>
      <c r="W498" t="str">
        <f t="shared" si="62"/>
        <v>Dap</v>
      </c>
      <c r="X498" t="str">
        <f t="shared" si="63"/>
        <v>Food</v>
      </c>
    </row>
    <row r="499" spans="1:24" x14ac:dyDescent="0.25">
      <c r="A499" t="s">
        <v>564</v>
      </c>
      <c r="B499" s="1">
        <v>43746</v>
      </c>
      <c r="C499">
        <v>2019</v>
      </c>
      <c r="D499" t="s">
        <v>31</v>
      </c>
      <c r="E499" t="s">
        <v>32</v>
      </c>
      <c r="F499" t="s">
        <v>33</v>
      </c>
      <c r="G499" t="s">
        <v>27</v>
      </c>
      <c r="H499">
        <v>94.68</v>
      </c>
      <c r="I499">
        <v>613.77</v>
      </c>
      <c r="J499">
        <v>6482.53</v>
      </c>
      <c r="K499" t="s">
        <v>21</v>
      </c>
      <c r="L499" t="s">
        <v>22</v>
      </c>
      <c r="M499">
        <v>154.44</v>
      </c>
      <c r="N499">
        <v>244.22</v>
      </c>
      <c r="O499" t="s">
        <v>52</v>
      </c>
      <c r="P499">
        <v>31</v>
      </c>
      <c r="Q499" t="str">
        <f t="shared" si="56"/>
        <v>2019-10</v>
      </c>
      <c r="R499">
        <f t="shared" si="57"/>
        <v>2623.3908662309545</v>
      </c>
      <c r="S499">
        <f t="shared" si="58"/>
        <v>16.986472845318275</v>
      </c>
      <c r="T499" t="str">
        <f t="shared" si="59"/>
        <v>Maharashtra</v>
      </c>
      <c r="U499" t="str">
        <f t="shared" si="60"/>
        <v>Pune</v>
      </c>
      <c r="V499" t="str">
        <f t="shared" si="61"/>
        <v>Pulses</v>
      </c>
      <c r="W499" t="str">
        <f t="shared" si="62"/>
        <v>Urea</v>
      </c>
      <c r="X499" t="str">
        <f t="shared" si="63"/>
        <v>Food</v>
      </c>
    </row>
    <row r="500" spans="1:24" x14ac:dyDescent="0.25">
      <c r="A500" t="s">
        <v>565</v>
      </c>
      <c r="B500" s="1">
        <v>42708</v>
      </c>
      <c r="C500">
        <v>2016</v>
      </c>
      <c r="D500" t="s">
        <v>36</v>
      </c>
      <c r="E500" t="s">
        <v>77</v>
      </c>
      <c r="F500" t="s">
        <v>38</v>
      </c>
      <c r="G500" t="s">
        <v>39</v>
      </c>
      <c r="H500">
        <v>82.31</v>
      </c>
      <c r="I500">
        <v>305.75</v>
      </c>
      <c r="J500">
        <v>3714.65</v>
      </c>
      <c r="K500" t="s">
        <v>40</v>
      </c>
      <c r="L500" t="s">
        <v>49</v>
      </c>
      <c r="M500">
        <v>70.77</v>
      </c>
      <c r="N500">
        <v>953.08</v>
      </c>
      <c r="O500" t="s">
        <v>52</v>
      </c>
      <c r="P500">
        <v>34.25</v>
      </c>
      <c r="Q500" t="str">
        <f t="shared" si="56"/>
        <v>2016-12</v>
      </c>
      <c r="R500">
        <f t="shared" si="57"/>
        <v>1503.2678416057952</v>
      </c>
      <c r="S500">
        <f t="shared" si="58"/>
        <v>21.241597309676351</v>
      </c>
      <c r="T500" t="str">
        <f t="shared" si="59"/>
        <v>Karnataka</v>
      </c>
      <c r="U500" t="str">
        <f t="shared" si="60"/>
        <v>Hubli</v>
      </c>
      <c r="V500" t="str">
        <f t="shared" si="61"/>
        <v>Cotton</v>
      </c>
      <c r="W500" t="str">
        <f t="shared" si="62"/>
        <v>Npk</v>
      </c>
      <c r="X500" t="str">
        <f t="shared" si="63"/>
        <v>Cash</v>
      </c>
    </row>
    <row r="501" spans="1:24" x14ac:dyDescent="0.25">
      <c r="A501" t="s">
        <v>566</v>
      </c>
      <c r="B501" s="1">
        <v>44101</v>
      </c>
      <c r="C501">
        <v>2020</v>
      </c>
      <c r="D501" t="s">
        <v>31</v>
      </c>
      <c r="E501" t="s">
        <v>82</v>
      </c>
      <c r="F501" t="s">
        <v>33</v>
      </c>
      <c r="G501" t="s">
        <v>64</v>
      </c>
      <c r="H501">
        <v>48.5</v>
      </c>
      <c r="I501">
        <v>137.21</v>
      </c>
      <c r="J501">
        <v>2829.02</v>
      </c>
      <c r="K501" t="s">
        <v>28</v>
      </c>
      <c r="L501" t="s">
        <v>41</v>
      </c>
      <c r="M501">
        <v>264.48</v>
      </c>
      <c r="N501">
        <v>947.29</v>
      </c>
      <c r="O501" t="s">
        <v>23</v>
      </c>
      <c r="P501">
        <v>34.65</v>
      </c>
      <c r="Q501" t="str">
        <f t="shared" si="56"/>
        <v>2020-09</v>
      </c>
      <c r="R501">
        <f t="shared" si="57"/>
        <v>1144.8655429877988</v>
      </c>
      <c r="S501">
        <f t="shared" si="58"/>
        <v>4.3287414662273092</v>
      </c>
      <c r="T501" t="str">
        <f t="shared" si="59"/>
        <v>Maharashtra</v>
      </c>
      <c r="U501" t="str">
        <f t="shared" si="60"/>
        <v>Nagpur</v>
      </c>
      <c r="V501" t="str">
        <f t="shared" si="61"/>
        <v>Wheat</v>
      </c>
      <c r="W501" t="str">
        <f t="shared" si="62"/>
        <v>Dap</v>
      </c>
      <c r="X501" t="str">
        <f t="shared" si="63"/>
        <v>Food</v>
      </c>
    </row>
    <row r="502" spans="1:24" x14ac:dyDescent="0.25">
      <c r="B502" s="1"/>
      <c r="Q502" t="str">
        <f t="shared" ref="Q502:Q541" si="64">TEXT(B502,"yyyy-mm")</f>
        <v>1900-01</v>
      </c>
      <c r="R502">
        <f t="shared" ref="R502:R541" si="65">J502/2.47105</f>
        <v>0</v>
      </c>
      <c r="S502" t="e">
        <f t="shared" ref="S502:S541" si="66">R502/M502</f>
        <v>#DIV/0!</v>
      </c>
      <c r="T502" t="str">
        <f t="shared" ref="T502:T541" si="67">PROPER(TRIM(D502))</f>
        <v/>
      </c>
      <c r="U502" t="str">
        <f t="shared" si="60"/>
        <v/>
      </c>
      <c r="V502" t="str">
        <f t="shared" si="61"/>
        <v/>
      </c>
      <c r="W502" t="str">
        <f t="shared" si="62"/>
        <v/>
      </c>
      <c r="X502" t="str">
        <f t="shared" si="63"/>
        <v>Cash</v>
      </c>
    </row>
    <row r="503" spans="1:24" x14ac:dyDescent="0.25">
      <c r="B503" s="1"/>
      <c r="Q503" t="str">
        <f t="shared" si="64"/>
        <v>1900-01</v>
      </c>
      <c r="R503">
        <f t="shared" si="65"/>
        <v>0</v>
      </c>
      <c r="S503" t="e">
        <f t="shared" si="66"/>
        <v>#DIV/0!</v>
      </c>
      <c r="T503" t="str">
        <f t="shared" si="67"/>
        <v/>
      </c>
      <c r="U503" t="str">
        <f t="shared" si="60"/>
        <v/>
      </c>
      <c r="V503" t="str">
        <f t="shared" si="61"/>
        <v/>
      </c>
      <c r="W503" t="str">
        <f t="shared" si="62"/>
        <v/>
      </c>
      <c r="X503" t="str">
        <f t="shared" si="63"/>
        <v>Cash</v>
      </c>
    </row>
    <row r="504" spans="1:24" x14ac:dyDescent="0.25">
      <c r="B504" s="1"/>
      <c r="Q504" t="str">
        <f t="shared" si="64"/>
        <v>1900-01</v>
      </c>
      <c r="R504">
        <f t="shared" si="65"/>
        <v>0</v>
      </c>
      <c r="S504" t="e">
        <f t="shared" si="66"/>
        <v>#DIV/0!</v>
      </c>
      <c r="T504" t="str">
        <f t="shared" si="67"/>
        <v/>
      </c>
      <c r="U504" t="str">
        <f t="shared" si="60"/>
        <v/>
      </c>
      <c r="V504" t="str">
        <f t="shared" si="61"/>
        <v/>
      </c>
      <c r="W504" t="str">
        <f t="shared" si="62"/>
        <v/>
      </c>
      <c r="X504" t="str">
        <f t="shared" si="63"/>
        <v>Cash</v>
      </c>
    </row>
    <row r="505" spans="1:24" x14ac:dyDescent="0.25">
      <c r="B505" s="1"/>
      <c r="Q505" t="str">
        <f t="shared" si="64"/>
        <v>1900-01</v>
      </c>
      <c r="R505">
        <f t="shared" si="65"/>
        <v>0</v>
      </c>
      <c r="S505" t="e">
        <f t="shared" si="66"/>
        <v>#DIV/0!</v>
      </c>
      <c r="T505" t="str">
        <f t="shared" si="67"/>
        <v/>
      </c>
      <c r="U505" t="str">
        <f t="shared" si="60"/>
        <v/>
      </c>
      <c r="V505" t="str">
        <f t="shared" si="61"/>
        <v/>
      </c>
      <c r="W505" t="str">
        <f t="shared" si="62"/>
        <v/>
      </c>
      <c r="X505" t="str">
        <f t="shared" si="63"/>
        <v>Cash</v>
      </c>
    </row>
    <row r="506" spans="1:24" x14ac:dyDescent="0.25">
      <c r="B506" s="1"/>
      <c r="Q506" t="str">
        <f t="shared" si="64"/>
        <v>1900-01</v>
      </c>
      <c r="R506">
        <f t="shared" si="65"/>
        <v>0</v>
      </c>
      <c r="S506" t="e">
        <f t="shared" si="66"/>
        <v>#DIV/0!</v>
      </c>
      <c r="T506" t="str">
        <f t="shared" si="67"/>
        <v/>
      </c>
      <c r="U506" t="str">
        <f t="shared" si="60"/>
        <v/>
      </c>
      <c r="V506" t="str">
        <f t="shared" si="61"/>
        <v/>
      </c>
      <c r="W506" t="str">
        <f t="shared" si="62"/>
        <v/>
      </c>
      <c r="X506" t="str">
        <f t="shared" si="63"/>
        <v>Cash</v>
      </c>
    </row>
    <row r="507" spans="1:24" x14ac:dyDescent="0.25">
      <c r="B507" s="1"/>
      <c r="Q507" t="str">
        <f t="shared" si="64"/>
        <v>1900-01</v>
      </c>
      <c r="R507">
        <f t="shared" si="65"/>
        <v>0</v>
      </c>
      <c r="S507" t="e">
        <f t="shared" si="66"/>
        <v>#DIV/0!</v>
      </c>
      <c r="T507" t="str">
        <f t="shared" si="67"/>
        <v/>
      </c>
      <c r="U507" t="str">
        <f t="shared" si="60"/>
        <v/>
      </c>
      <c r="V507" t="str">
        <f t="shared" si="61"/>
        <v/>
      </c>
      <c r="W507" t="str">
        <f t="shared" si="62"/>
        <v/>
      </c>
      <c r="X507" t="str">
        <f t="shared" si="63"/>
        <v>Cash</v>
      </c>
    </row>
    <row r="508" spans="1:24" x14ac:dyDescent="0.25">
      <c r="B508" s="1"/>
      <c r="Q508" t="str">
        <f t="shared" si="64"/>
        <v>1900-01</v>
      </c>
      <c r="R508">
        <f t="shared" si="65"/>
        <v>0</v>
      </c>
      <c r="S508" t="e">
        <f t="shared" si="66"/>
        <v>#DIV/0!</v>
      </c>
      <c r="T508" t="str">
        <f t="shared" si="67"/>
        <v/>
      </c>
      <c r="U508" t="str">
        <f t="shared" si="60"/>
        <v/>
      </c>
      <c r="V508" t="str">
        <f t="shared" si="61"/>
        <v/>
      </c>
      <c r="W508" t="str">
        <f t="shared" si="62"/>
        <v/>
      </c>
      <c r="X508" t="str">
        <f t="shared" si="63"/>
        <v>Cash</v>
      </c>
    </row>
    <row r="509" spans="1:24" x14ac:dyDescent="0.25">
      <c r="B509" s="1"/>
      <c r="Q509" t="str">
        <f t="shared" si="64"/>
        <v>1900-01</v>
      </c>
      <c r="R509">
        <f t="shared" si="65"/>
        <v>0</v>
      </c>
      <c r="S509" t="e">
        <f t="shared" si="66"/>
        <v>#DIV/0!</v>
      </c>
      <c r="T509" t="str">
        <f t="shared" si="67"/>
        <v/>
      </c>
      <c r="U509" t="str">
        <f t="shared" si="60"/>
        <v/>
      </c>
      <c r="V509" t="str">
        <f t="shared" si="61"/>
        <v/>
      </c>
      <c r="W509" t="str">
        <f t="shared" si="62"/>
        <v/>
      </c>
      <c r="X509" t="str">
        <f t="shared" si="63"/>
        <v>Cash</v>
      </c>
    </row>
    <row r="510" spans="1:24" x14ac:dyDescent="0.25">
      <c r="B510" s="1"/>
      <c r="Q510" t="str">
        <f t="shared" si="64"/>
        <v>1900-01</v>
      </c>
      <c r="R510">
        <f t="shared" si="65"/>
        <v>0</v>
      </c>
      <c r="S510" t="e">
        <f t="shared" si="66"/>
        <v>#DIV/0!</v>
      </c>
      <c r="T510" t="str">
        <f t="shared" si="67"/>
        <v/>
      </c>
      <c r="U510" t="str">
        <f t="shared" si="60"/>
        <v/>
      </c>
      <c r="V510" t="str">
        <f t="shared" si="61"/>
        <v/>
      </c>
      <c r="W510" t="str">
        <f t="shared" si="62"/>
        <v/>
      </c>
      <c r="X510" t="str">
        <f t="shared" si="63"/>
        <v>Cash</v>
      </c>
    </row>
    <row r="511" spans="1:24" x14ac:dyDescent="0.25">
      <c r="B511" s="1"/>
      <c r="Q511" t="str">
        <f t="shared" si="64"/>
        <v>1900-01</v>
      </c>
      <c r="R511">
        <f t="shared" si="65"/>
        <v>0</v>
      </c>
      <c r="S511" t="e">
        <f t="shared" si="66"/>
        <v>#DIV/0!</v>
      </c>
      <c r="T511" t="str">
        <f t="shared" si="67"/>
        <v/>
      </c>
      <c r="U511" t="str">
        <f t="shared" si="60"/>
        <v/>
      </c>
      <c r="V511" t="str">
        <f t="shared" si="61"/>
        <v/>
      </c>
      <c r="W511" t="str">
        <f t="shared" si="62"/>
        <v/>
      </c>
      <c r="X511" t="str">
        <f t="shared" si="63"/>
        <v>Cash</v>
      </c>
    </row>
    <row r="512" spans="1:24" x14ac:dyDescent="0.25">
      <c r="B512" s="1"/>
      <c r="Q512" t="str">
        <f t="shared" si="64"/>
        <v>1900-01</v>
      </c>
      <c r="R512">
        <f t="shared" si="65"/>
        <v>0</v>
      </c>
      <c r="S512" t="e">
        <f t="shared" si="66"/>
        <v>#DIV/0!</v>
      </c>
      <c r="T512" t="str">
        <f t="shared" si="67"/>
        <v/>
      </c>
      <c r="U512" t="str">
        <f t="shared" si="60"/>
        <v/>
      </c>
      <c r="V512" t="str">
        <f t="shared" si="61"/>
        <v/>
      </c>
      <c r="W512" t="str">
        <f t="shared" si="62"/>
        <v/>
      </c>
      <c r="X512" t="str">
        <f t="shared" si="63"/>
        <v>Cash</v>
      </c>
    </row>
    <row r="513" spans="2:24" x14ac:dyDescent="0.25">
      <c r="B513" s="1"/>
      <c r="Q513" t="str">
        <f t="shared" si="64"/>
        <v>1900-01</v>
      </c>
      <c r="R513">
        <f t="shared" si="65"/>
        <v>0</v>
      </c>
      <c r="S513" t="e">
        <f t="shared" si="66"/>
        <v>#DIV/0!</v>
      </c>
      <c r="T513" t="str">
        <f t="shared" si="67"/>
        <v/>
      </c>
      <c r="U513" t="str">
        <f t="shared" si="60"/>
        <v/>
      </c>
      <c r="V513" t="str">
        <f t="shared" si="61"/>
        <v/>
      </c>
      <c r="W513" t="str">
        <f t="shared" si="62"/>
        <v/>
      </c>
      <c r="X513" t="str">
        <f t="shared" si="63"/>
        <v>Cash</v>
      </c>
    </row>
    <row r="514" spans="2:24" x14ac:dyDescent="0.25">
      <c r="B514" s="1"/>
      <c r="Q514" t="str">
        <f t="shared" si="64"/>
        <v>1900-01</v>
      </c>
      <c r="R514">
        <f t="shared" si="65"/>
        <v>0</v>
      </c>
      <c r="S514" t="e">
        <f t="shared" si="66"/>
        <v>#DIV/0!</v>
      </c>
      <c r="T514" t="str">
        <f t="shared" si="67"/>
        <v/>
      </c>
      <c r="U514" t="str">
        <f t="shared" ref="U514:U541" si="68">PROPER(TRIM(E514))</f>
        <v/>
      </c>
      <c r="V514" t="str">
        <f t="shared" ref="V514:V541" si="69">PROPER(TRIM(G514))</f>
        <v/>
      </c>
      <c r="W514" t="str">
        <f t="shared" ref="W514:W541" si="70">PROPER(TRIM(L514))</f>
        <v/>
      </c>
      <c r="X514" t="str">
        <f t="shared" ref="X514:X541" si="71">IF(OR(V514="Wheat",V514="Rice",V514="Maize",V514="Pulses"),"Food","Cash")</f>
        <v>Cash</v>
      </c>
    </row>
    <row r="515" spans="2:24" x14ac:dyDescent="0.25">
      <c r="B515" s="1"/>
      <c r="Q515" t="str">
        <f t="shared" si="64"/>
        <v>1900-01</v>
      </c>
      <c r="R515">
        <f t="shared" si="65"/>
        <v>0</v>
      </c>
      <c r="S515" t="e">
        <f t="shared" si="66"/>
        <v>#DIV/0!</v>
      </c>
      <c r="T515" t="str">
        <f t="shared" si="67"/>
        <v/>
      </c>
      <c r="U515" t="str">
        <f t="shared" si="68"/>
        <v/>
      </c>
      <c r="V515" t="str">
        <f t="shared" si="69"/>
        <v/>
      </c>
      <c r="W515" t="str">
        <f t="shared" si="70"/>
        <v/>
      </c>
      <c r="X515" t="str">
        <f t="shared" si="71"/>
        <v>Cash</v>
      </c>
    </row>
    <row r="516" spans="2:24" x14ac:dyDescent="0.25">
      <c r="B516" s="1"/>
      <c r="Q516" t="str">
        <f t="shared" si="64"/>
        <v>1900-01</v>
      </c>
      <c r="R516">
        <f t="shared" si="65"/>
        <v>0</v>
      </c>
      <c r="S516" t="e">
        <f t="shared" si="66"/>
        <v>#DIV/0!</v>
      </c>
      <c r="T516" t="str">
        <f t="shared" si="67"/>
        <v/>
      </c>
      <c r="U516" t="str">
        <f t="shared" si="68"/>
        <v/>
      </c>
      <c r="V516" t="str">
        <f t="shared" si="69"/>
        <v/>
      </c>
      <c r="W516" t="str">
        <f t="shared" si="70"/>
        <v/>
      </c>
      <c r="X516" t="str">
        <f t="shared" si="71"/>
        <v>Cash</v>
      </c>
    </row>
    <row r="517" spans="2:24" x14ac:dyDescent="0.25">
      <c r="B517" s="1"/>
      <c r="Q517" t="str">
        <f t="shared" si="64"/>
        <v>1900-01</v>
      </c>
      <c r="R517">
        <f t="shared" si="65"/>
        <v>0</v>
      </c>
      <c r="S517" t="e">
        <f t="shared" si="66"/>
        <v>#DIV/0!</v>
      </c>
      <c r="T517" t="str">
        <f t="shared" si="67"/>
        <v/>
      </c>
      <c r="U517" t="str">
        <f t="shared" si="68"/>
        <v/>
      </c>
      <c r="V517" t="str">
        <f t="shared" si="69"/>
        <v/>
      </c>
      <c r="W517" t="str">
        <f t="shared" si="70"/>
        <v/>
      </c>
      <c r="X517" t="str">
        <f t="shared" si="71"/>
        <v>Cash</v>
      </c>
    </row>
    <row r="518" spans="2:24" x14ac:dyDescent="0.25">
      <c r="B518" s="1"/>
      <c r="Q518" t="str">
        <f t="shared" si="64"/>
        <v>1900-01</v>
      </c>
      <c r="R518">
        <f t="shared" si="65"/>
        <v>0</v>
      </c>
      <c r="S518" t="e">
        <f t="shared" si="66"/>
        <v>#DIV/0!</v>
      </c>
      <c r="T518" t="str">
        <f t="shared" si="67"/>
        <v/>
      </c>
      <c r="U518" t="str">
        <f t="shared" si="68"/>
        <v/>
      </c>
      <c r="V518" t="str">
        <f t="shared" si="69"/>
        <v/>
      </c>
      <c r="W518" t="str">
        <f t="shared" si="70"/>
        <v/>
      </c>
      <c r="X518" t="str">
        <f t="shared" si="71"/>
        <v>Cash</v>
      </c>
    </row>
    <row r="519" spans="2:24" x14ac:dyDescent="0.25">
      <c r="B519" s="1"/>
      <c r="Q519" t="str">
        <f t="shared" si="64"/>
        <v>1900-01</v>
      </c>
      <c r="R519">
        <f t="shared" si="65"/>
        <v>0</v>
      </c>
      <c r="S519" t="e">
        <f t="shared" si="66"/>
        <v>#DIV/0!</v>
      </c>
      <c r="T519" t="str">
        <f t="shared" si="67"/>
        <v/>
      </c>
      <c r="U519" t="str">
        <f t="shared" si="68"/>
        <v/>
      </c>
      <c r="V519" t="str">
        <f t="shared" si="69"/>
        <v/>
      </c>
      <c r="W519" t="str">
        <f t="shared" si="70"/>
        <v/>
      </c>
      <c r="X519" t="str">
        <f t="shared" si="71"/>
        <v>Cash</v>
      </c>
    </row>
    <row r="520" spans="2:24" x14ac:dyDescent="0.25">
      <c r="B520" s="1"/>
      <c r="Q520" t="str">
        <f t="shared" si="64"/>
        <v>1900-01</v>
      </c>
      <c r="R520">
        <f t="shared" si="65"/>
        <v>0</v>
      </c>
      <c r="S520" t="e">
        <f t="shared" si="66"/>
        <v>#DIV/0!</v>
      </c>
      <c r="T520" t="str">
        <f t="shared" si="67"/>
        <v/>
      </c>
      <c r="U520" t="str">
        <f t="shared" si="68"/>
        <v/>
      </c>
      <c r="V520" t="str">
        <f t="shared" si="69"/>
        <v/>
      </c>
      <c r="W520" t="str">
        <f t="shared" si="70"/>
        <v/>
      </c>
      <c r="X520" t="str">
        <f t="shared" si="71"/>
        <v>Cash</v>
      </c>
    </row>
    <row r="521" spans="2:24" x14ac:dyDescent="0.25">
      <c r="B521" s="1"/>
      <c r="Q521" t="str">
        <f t="shared" si="64"/>
        <v>1900-01</v>
      </c>
      <c r="R521">
        <f t="shared" si="65"/>
        <v>0</v>
      </c>
      <c r="S521" t="e">
        <f t="shared" si="66"/>
        <v>#DIV/0!</v>
      </c>
      <c r="T521" t="str">
        <f t="shared" si="67"/>
        <v/>
      </c>
      <c r="U521" t="str">
        <f t="shared" si="68"/>
        <v/>
      </c>
      <c r="V521" t="str">
        <f t="shared" si="69"/>
        <v/>
      </c>
      <c r="W521" t="str">
        <f t="shared" si="70"/>
        <v/>
      </c>
      <c r="X521" t="str">
        <f t="shared" si="71"/>
        <v>Cash</v>
      </c>
    </row>
    <row r="522" spans="2:24" x14ac:dyDescent="0.25">
      <c r="B522" s="1"/>
      <c r="Q522" t="str">
        <f t="shared" si="64"/>
        <v>1900-01</v>
      </c>
      <c r="R522">
        <f t="shared" si="65"/>
        <v>0</v>
      </c>
      <c r="S522" t="e">
        <f t="shared" si="66"/>
        <v>#DIV/0!</v>
      </c>
      <c r="T522" t="str">
        <f t="shared" si="67"/>
        <v/>
      </c>
      <c r="U522" t="str">
        <f t="shared" si="68"/>
        <v/>
      </c>
      <c r="V522" t="str">
        <f t="shared" si="69"/>
        <v/>
      </c>
      <c r="W522" t="str">
        <f t="shared" si="70"/>
        <v/>
      </c>
      <c r="X522" t="str">
        <f t="shared" si="71"/>
        <v>Cash</v>
      </c>
    </row>
    <row r="523" spans="2:24" x14ac:dyDescent="0.25">
      <c r="B523" s="1"/>
      <c r="Q523" t="str">
        <f t="shared" si="64"/>
        <v>1900-01</v>
      </c>
      <c r="R523">
        <f t="shared" si="65"/>
        <v>0</v>
      </c>
      <c r="S523" t="e">
        <f t="shared" si="66"/>
        <v>#DIV/0!</v>
      </c>
      <c r="T523" t="str">
        <f t="shared" si="67"/>
        <v/>
      </c>
      <c r="U523" t="str">
        <f t="shared" si="68"/>
        <v/>
      </c>
      <c r="V523" t="str">
        <f t="shared" si="69"/>
        <v/>
      </c>
      <c r="W523" t="str">
        <f t="shared" si="70"/>
        <v/>
      </c>
      <c r="X523" t="str">
        <f t="shared" si="71"/>
        <v>Cash</v>
      </c>
    </row>
    <row r="524" spans="2:24" x14ac:dyDescent="0.25">
      <c r="B524" s="1"/>
      <c r="Q524" t="str">
        <f t="shared" si="64"/>
        <v>1900-01</v>
      </c>
      <c r="R524">
        <f t="shared" si="65"/>
        <v>0</v>
      </c>
      <c r="S524" t="e">
        <f t="shared" si="66"/>
        <v>#DIV/0!</v>
      </c>
      <c r="T524" t="str">
        <f t="shared" si="67"/>
        <v/>
      </c>
      <c r="U524" t="str">
        <f t="shared" si="68"/>
        <v/>
      </c>
      <c r="V524" t="str">
        <f t="shared" si="69"/>
        <v/>
      </c>
      <c r="W524" t="str">
        <f t="shared" si="70"/>
        <v/>
      </c>
      <c r="X524" t="str">
        <f t="shared" si="71"/>
        <v>Cash</v>
      </c>
    </row>
    <row r="525" spans="2:24" x14ac:dyDescent="0.25">
      <c r="B525" s="1"/>
      <c r="Q525" t="str">
        <f t="shared" si="64"/>
        <v>1900-01</v>
      </c>
      <c r="R525">
        <f t="shared" si="65"/>
        <v>0</v>
      </c>
      <c r="S525" t="e">
        <f t="shared" si="66"/>
        <v>#DIV/0!</v>
      </c>
      <c r="T525" t="str">
        <f t="shared" si="67"/>
        <v/>
      </c>
      <c r="U525" t="str">
        <f t="shared" si="68"/>
        <v/>
      </c>
      <c r="V525" t="str">
        <f t="shared" si="69"/>
        <v/>
      </c>
      <c r="W525" t="str">
        <f t="shared" si="70"/>
        <v/>
      </c>
      <c r="X525" t="str">
        <f t="shared" si="71"/>
        <v>Cash</v>
      </c>
    </row>
    <row r="526" spans="2:24" x14ac:dyDescent="0.25">
      <c r="B526" s="1"/>
      <c r="Q526" t="str">
        <f t="shared" si="64"/>
        <v>1900-01</v>
      </c>
      <c r="R526">
        <f t="shared" si="65"/>
        <v>0</v>
      </c>
      <c r="S526" t="e">
        <f t="shared" si="66"/>
        <v>#DIV/0!</v>
      </c>
      <c r="T526" t="str">
        <f t="shared" si="67"/>
        <v/>
      </c>
      <c r="U526" t="str">
        <f t="shared" si="68"/>
        <v/>
      </c>
      <c r="V526" t="str">
        <f t="shared" si="69"/>
        <v/>
      </c>
      <c r="W526" t="str">
        <f t="shared" si="70"/>
        <v/>
      </c>
      <c r="X526" t="str">
        <f t="shared" si="71"/>
        <v>Cash</v>
      </c>
    </row>
    <row r="527" spans="2:24" x14ac:dyDescent="0.25">
      <c r="B527" s="1"/>
      <c r="Q527" t="str">
        <f t="shared" si="64"/>
        <v>1900-01</v>
      </c>
      <c r="R527">
        <f t="shared" si="65"/>
        <v>0</v>
      </c>
      <c r="S527" t="e">
        <f t="shared" si="66"/>
        <v>#DIV/0!</v>
      </c>
      <c r="T527" t="str">
        <f t="shared" si="67"/>
        <v/>
      </c>
      <c r="U527" t="str">
        <f t="shared" si="68"/>
        <v/>
      </c>
      <c r="V527" t="str">
        <f t="shared" si="69"/>
        <v/>
      </c>
      <c r="W527" t="str">
        <f t="shared" si="70"/>
        <v/>
      </c>
      <c r="X527" t="str">
        <f t="shared" si="71"/>
        <v>Cash</v>
      </c>
    </row>
    <row r="528" spans="2:24" x14ac:dyDescent="0.25">
      <c r="B528" s="1"/>
      <c r="Q528" t="str">
        <f t="shared" si="64"/>
        <v>1900-01</v>
      </c>
      <c r="R528">
        <f t="shared" si="65"/>
        <v>0</v>
      </c>
      <c r="S528" t="e">
        <f t="shared" si="66"/>
        <v>#DIV/0!</v>
      </c>
      <c r="T528" t="str">
        <f t="shared" si="67"/>
        <v/>
      </c>
      <c r="U528" t="str">
        <f t="shared" si="68"/>
        <v/>
      </c>
      <c r="V528" t="str">
        <f t="shared" si="69"/>
        <v/>
      </c>
      <c r="W528" t="str">
        <f t="shared" si="70"/>
        <v/>
      </c>
      <c r="X528" t="str">
        <f t="shared" si="71"/>
        <v>Cash</v>
      </c>
    </row>
    <row r="529" spans="2:24" x14ac:dyDescent="0.25">
      <c r="B529" s="1"/>
      <c r="Q529" t="str">
        <f t="shared" si="64"/>
        <v>1900-01</v>
      </c>
      <c r="R529">
        <f t="shared" si="65"/>
        <v>0</v>
      </c>
      <c r="S529" t="e">
        <f t="shared" si="66"/>
        <v>#DIV/0!</v>
      </c>
      <c r="T529" t="str">
        <f t="shared" si="67"/>
        <v/>
      </c>
      <c r="U529" t="str">
        <f t="shared" si="68"/>
        <v/>
      </c>
      <c r="V529" t="str">
        <f t="shared" si="69"/>
        <v/>
      </c>
      <c r="W529" t="str">
        <f t="shared" si="70"/>
        <v/>
      </c>
      <c r="X529" t="str">
        <f t="shared" si="71"/>
        <v>Cash</v>
      </c>
    </row>
    <row r="530" spans="2:24" x14ac:dyDescent="0.25">
      <c r="B530" s="1"/>
      <c r="Q530" t="str">
        <f t="shared" si="64"/>
        <v>1900-01</v>
      </c>
      <c r="R530">
        <f t="shared" si="65"/>
        <v>0</v>
      </c>
      <c r="S530" t="e">
        <f t="shared" si="66"/>
        <v>#DIV/0!</v>
      </c>
      <c r="T530" t="str">
        <f t="shared" si="67"/>
        <v/>
      </c>
      <c r="U530" t="str">
        <f t="shared" si="68"/>
        <v/>
      </c>
      <c r="V530" t="str">
        <f t="shared" si="69"/>
        <v/>
      </c>
      <c r="W530" t="str">
        <f t="shared" si="70"/>
        <v/>
      </c>
      <c r="X530" t="str">
        <f t="shared" si="71"/>
        <v>Cash</v>
      </c>
    </row>
    <row r="531" spans="2:24" x14ac:dyDescent="0.25">
      <c r="B531" s="1"/>
      <c r="Q531" t="str">
        <f t="shared" si="64"/>
        <v>1900-01</v>
      </c>
      <c r="R531">
        <f t="shared" si="65"/>
        <v>0</v>
      </c>
      <c r="S531" t="e">
        <f t="shared" si="66"/>
        <v>#DIV/0!</v>
      </c>
      <c r="T531" t="str">
        <f t="shared" si="67"/>
        <v/>
      </c>
      <c r="U531" t="str">
        <f t="shared" si="68"/>
        <v/>
      </c>
      <c r="V531" t="str">
        <f t="shared" si="69"/>
        <v/>
      </c>
      <c r="W531" t="str">
        <f t="shared" si="70"/>
        <v/>
      </c>
      <c r="X531" t="str">
        <f t="shared" si="71"/>
        <v>Cash</v>
      </c>
    </row>
    <row r="532" spans="2:24" x14ac:dyDescent="0.25">
      <c r="B532" s="1"/>
      <c r="Q532" t="str">
        <f t="shared" si="64"/>
        <v>1900-01</v>
      </c>
      <c r="R532">
        <f t="shared" si="65"/>
        <v>0</v>
      </c>
      <c r="S532" t="e">
        <f t="shared" si="66"/>
        <v>#DIV/0!</v>
      </c>
      <c r="T532" t="str">
        <f t="shared" si="67"/>
        <v/>
      </c>
      <c r="U532" t="str">
        <f t="shared" si="68"/>
        <v/>
      </c>
      <c r="V532" t="str">
        <f t="shared" si="69"/>
        <v/>
      </c>
      <c r="W532" t="str">
        <f t="shared" si="70"/>
        <v/>
      </c>
      <c r="X532" t="str">
        <f t="shared" si="71"/>
        <v>Cash</v>
      </c>
    </row>
    <row r="533" spans="2:24" x14ac:dyDescent="0.25">
      <c r="B533" s="1"/>
      <c r="Q533" t="str">
        <f t="shared" si="64"/>
        <v>1900-01</v>
      </c>
      <c r="R533">
        <f t="shared" si="65"/>
        <v>0</v>
      </c>
      <c r="S533" t="e">
        <f t="shared" si="66"/>
        <v>#DIV/0!</v>
      </c>
      <c r="T533" t="str">
        <f t="shared" si="67"/>
        <v/>
      </c>
      <c r="U533" t="str">
        <f t="shared" si="68"/>
        <v/>
      </c>
      <c r="V533" t="str">
        <f t="shared" si="69"/>
        <v/>
      </c>
      <c r="W533" t="str">
        <f t="shared" si="70"/>
        <v/>
      </c>
      <c r="X533" t="str">
        <f t="shared" si="71"/>
        <v>Cash</v>
      </c>
    </row>
    <row r="534" spans="2:24" x14ac:dyDescent="0.25">
      <c r="B534" s="1"/>
      <c r="Q534" t="str">
        <f t="shared" si="64"/>
        <v>1900-01</v>
      </c>
      <c r="R534">
        <f t="shared" si="65"/>
        <v>0</v>
      </c>
      <c r="S534" t="e">
        <f t="shared" si="66"/>
        <v>#DIV/0!</v>
      </c>
      <c r="T534" t="str">
        <f t="shared" si="67"/>
        <v/>
      </c>
      <c r="U534" t="str">
        <f t="shared" si="68"/>
        <v/>
      </c>
      <c r="V534" t="str">
        <f t="shared" si="69"/>
        <v/>
      </c>
      <c r="W534" t="str">
        <f t="shared" si="70"/>
        <v/>
      </c>
      <c r="X534" t="str">
        <f t="shared" si="71"/>
        <v>Cash</v>
      </c>
    </row>
    <row r="535" spans="2:24" x14ac:dyDescent="0.25">
      <c r="B535" s="1"/>
      <c r="Q535" t="str">
        <f t="shared" si="64"/>
        <v>1900-01</v>
      </c>
      <c r="R535">
        <f t="shared" si="65"/>
        <v>0</v>
      </c>
      <c r="S535" t="e">
        <f t="shared" si="66"/>
        <v>#DIV/0!</v>
      </c>
      <c r="T535" t="str">
        <f t="shared" si="67"/>
        <v/>
      </c>
      <c r="U535" t="str">
        <f t="shared" si="68"/>
        <v/>
      </c>
      <c r="V535" t="str">
        <f t="shared" si="69"/>
        <v/>
      </c>
      <c r="W535" t="str">
        <f t="shared" si="70"/>
        <v/>
      </c>
      <c r="X535" t="str">
        <f t="shared" si="71"/>
        <v>Cash</v>
      </c>
    </row>
    <row r="536" spans="2:24" x14ac:dyDescent="0.25">
      <c r="B536" s="1"/>
      <c r="Q536" t="str">
        <f t="shared" si="64"/>
        <v>1900-01</v>
      </c>
      <c r="R536">
        <f t="shared" si="65"/>
        <v>0</v>
      </c>
      <c r="S536" t="e">
        <f t="shared" si="66"/>
        <v>#DIV/0!</v>
      </c>
      <c r="T536" t="str">
        <f t="shared" si="67"/>
        <v/>
      </c>
      <c r="U536" t="str">
        <f t="shared" si="68"/>
        <v/>
      </c>
      <c r="V536" t="str">
        <f t="shared" si="69"/>
        <v/>
      </c>
      <c r="W536" t="str">
        <f t="shared" si="70"/>
        <v/>
      </c>
      <c r="X536" t="str">
        <f t="shared" si="71"/>
        <v>Cash</v>
      </c>
    </row>
    <row r="537" spans="2:24" x14ac:dyDescent="0.25">
      <c r="B537" s="1"/>
      <c r="Q537" t="str">
        <f t="shared" si="64"/>
        <v>1900-01</v>
      </c>
      <c r="R537">
        <f t="shared" si="65"/>
        <v>0</v>
      </c>
      <c r="S537" t="e">
        <f t="shared" si="66"/>
        <v>#DIV/0!</v>
      </c>
      <c r="T537" t="str">
        <f t="shared" si="67"/>
        <v/>
      </c>
      <c r="U537" t="str">
        <f t="shared" si="68"/>
        <v/>
      </c>
      <c r="V537" t="str">
        <f t="shared" si="69"/>
        <v/>
      </c>
      <c r="W537" t="str">
        <f t="shared" si="70"/>
        <v/>
      </c>
      <c r="X537" t="str">
        <f t="shared" si="71"/>
        <v>Cash</v>
      </c>
    </row>
    <row r="538" spans="2:24" x14ac:dyDescent="0.25">
      <c r="B538" s="1"/>
      <c r="Q538" t="str">
        <f t="shared" si="64"/>
        <v>1900-01</v>
      </c>
      <c r="R538">
        <f t="shared" si="65"/>
        <v>0</v>
      </c>
      <c r="S538" t="e">
        <f t="shared" si="66"/>
        <v>#DIV/0!</v>
      </c>
      <c r="T538" t="str">
        <f t="shared" si="67"/>
        <v/>
      </c>
      <c r="U538" t="str">
        <f t="shared" si="68"/>
        <v/>
      </c>
      <c r="V538" t="str">
        <f t="shared" si="69"/>
        <v/>
      </c>
      <c r="W538" t="str">
        <f t="shared" si="70"/>
        <v/>
      </c>
      <c r="X538" t="str">
        <f t="shared" si="71"/>
        <v>Cash</v>
      </c>
    </row>
    <row r="539" spans="2:24" x14ac:dyDescent="0.25">
      <c r="B539" s="1"/>
      <c r="Q539" t="str">
        <f t="shared" si="64"/>
        <v>1900-01</v>
      </c>
      <c r="R539">
        <f t="shared" si="65"/>
        <v>0</v>
      </c>
      <c r="S539" t="e">
        <f t="shared" si="66"/>
        <v>#DIV/0!</v>
      </c>
      <c r="T539" t="str">
        <f t="shared" si="67"/>
        <v/>
      </c>
      <c r="U539" t="str">
        <f t="shared" si="68"/>
        <v/>
      </c>
      <c r="V539" t="str">
        <f t="shared" si="69"/>
        <v/>
      </c>
      <c r="W539" t="str">
        <f t="shared" si="70"/>
        <v/>
      </c>
      <c r="X539" t="str">
        <f t="shared" si="71"/>
        <v>Cash</v>
      </c>
    </row>
    <row r="540" spans="2:24" x14ac:dyDescent="0.25">
      <c r="B540" s="1"/>
      <c r="Q540" t="str">
        <f t="shared" si="64"/>
        <v>1900-01</v>
      </c>
      <c r="R540">
        <f t="shared" si="65"/>
        <v>0</v>
      </c>
      <c r="S540" t="e">
        <f t="shared" si="66"/>
        <v>#DIV/0!</v>
      </c>
      <c r="T540" t="str">
        <f t="shared" si="67"/>
        <v/>
      </c>
      <c r="U540" t="str">
        <f t="shared" si="68"/>
        <v/>
      </c>
      <c r="V540" t="str">
        <f t="shared" si="69"/>
        <v/>
      </c>
      <c r="W540" t="str">
        <f t="shared" si="70"/>
        <v/>
      </c>
      <c r="X540" t="str">
        <f t="shared" si="71"/>
        <v>Cash</v>
      </c>
    </row>
    <row r="541" spans="2:24" x14ac:dyDescent="0.25">
      <c r="B541" s="1"/>
      <c r="Q541" t="str">
        <f t="shared" si="64"/>
        <v>1900-01</v>
      </c>
      <c r="R541">
        <f t="shared" si="65"/>
        <v>0</v>
      </c>
      <c r="S541" t="e">
        <f t="shared" si="66"/>
        <v>#DIV/0!</v>
      </c>
      <c r="T541" t="str">
        <f t="shared" si="67"/>
        <v/>
      </c>
      <c r="U541" t="str">
        <f t="shared" si="68"/>
        <v/>
      </c>
      <c r="V541" t="str">
        <f t="shared" si="69"/>
        <v/>
      </c>
      <c r="W541" t="str">
        <f t="shared" si="70"/>
        <v/>
      </c>
      <c r="X541" t="str">
        <f t="shared" si="71"/>
        <v>Cash</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1AB77-D29B-48FB-9411-14C2C23F28C1}">
  <dimension ref="A1"/>
  <sheetViews>
    <sheetView showGridLines="0" topLeftCell="H15" zoomScale="65" zoomScaleNormal="55" workbookViewId="0">
      <selection activeCell="D31" sqref="D31"/>
    </sheetView>
  </sheetViews>
  <sheetFormatPr defaultRowHeight="13.8" x14ac:dyDescent="0.25"/>
  <cols>
    <col min="2" max="2" width="24.69921875" customWidth="1"/>
    <col min="4" max="4" width="14.296875" customWidth="1"/>
    <col min="6" max="6" width="31" customWidth="1"/>
    <col min="8" max="8" width="17.6992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CA4A0-F8E3-4C8C-8BAC-371E8E44C227}">
  <dimension ref="A1"/>
  <sheetViews>
    <sheetView tabSelected="1" topLeftCell="J1" zoomScale="52" zoomScaleNormal="57" workbookViewId="0">
      <selection activeCell="AI18" sqref="AI18"/>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EFE23-EDB1-4915-ABE6-5AF36C21B4CD}">
  <dimension ref="A1"/>
  <sheetViews>
    <sheetView zoomScale="115" zoomScaleNormal="115" workbookViewId="0">
      <selection activeCell="Q4" sqref="Q4"/>
    </sheetView>
  </sheetViews>
  <sheetFormatPr defaultRowHeight="13.8"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01A1-F4ED-4E30-814E-6E582F3D7AD2}">
  <dimension ref="D10:E14"/>
  <sheetViews>
    <sheetView topLeftCell="H5" zoomScale="80" workbookViewId="0">
      <selection activeCell="U37" sqref="U37"/>
    </sheetView>
  </sheetViews>
  <sheetFormatPr defaultRowHeight="13.8" x14ac:dyDescent="0.25"/>
  <cols>
    <col min="4" max="4" width="13.59765625" bestFit="1" customWidth="1"/>
    <col min="5" max="5" width="12.5" bestFit="1" customWidth="1"/>
  </cols>
  <sheetData>
    <row r="10" spans="4:5" x14ac:dyDescent="0.25">
      <c r="D10" s="2" t="s">
        <v>574</v>
      </c>
      <c r="E10" t="s">
        <v>581</v>
      </c>
    </row>
    <row r="11" spans="4:5" x14ac:dyDescent="0.25">
      <c r="D11" s="3" t="s">
        <v>69</v>
      </c>
      <c r="E11" s="4">
        <v>168.22391304347826</v>
      </c>
    </row>
    <row r="12" spans="4:5" x14ac:dyDescent="0.25">
      <c r="D12" s="3" t="s">
        <v>87</v>
      </c>
      <c r="E12" s="4">
        <v>165.86000000000004</v>
      </c>
    </row>
    <row r="13" spans="4:5" x14ac:dyDescent="0.25">
      <c r="D13" s="3" t="s">
        <v>26</v>
      </c>
      <c r="E13" s="4">
        <v>159.40380952380951</v>
      </c>
    </row>
    <row r="14" spans="4:5" x14ac:dyDescent="0.25">
      <c r="D14" s="3" t="s">
        <v>575</v>
      </c>
      <c r="E14" s="4">
        <v>164.7625675675676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E7483-8133-402F-BB47-EA4A6F9FC999}">
  <dimension ref="A3:B6"/>
  <sheetViews>
    <sheetView zoomScale="116" workbookViewId="0">
      <selection activeCell="H41" sqref="H41"/>
    </sheetView>
  </sheetViews>
  <sheetFormatPr defaultRowHeight="13.8" x14ac:dyDescent="0.25"/>
  <cols>
    <col min="1" max="1" width="12.59765625" bestFit="1" customWidth="1"/>
    <col min="2" max="2" width="15.09765625" bestFit="1" customWidth="1"/>
  </cols>
  <sheetData>
    <row r="3" spans="1:2" x14ac:dyDescent="0.25">
      <c r="A3" s="2" t="s">
        <v>574</v>
      </c>
      <c r="B3" t="s">
        <v>576</v>
      </c>
    </row>
    <row r="4" spans="1:2" x14ac:dyDescent="0.25">
      <c r="A4" s="3" t="s">
        <v>582</v>
      </c>
      <c r="B4" s="4">
        <v>4350.7799999999988</v>
      </c>
    </row>
    <row r="5" spans="1:2" x14ac:dyDescent="0.25">
      <c r="A5" s="3" t="s">
        <v>578</v>
      </c>
      <c r="B5" s="4">
        <v>9328.2400000000016</v>
      </c>
    </row>
    <row r="6" spans="1:2" x14ac:dyDescent="0.25">
      <c r="A6" s="3" t="s">
        <v>575</v>
      </c>
      <c r="B6" s="4">
        <v>13679.02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084E1-210D-4F5C-A75F-8985E15B2879}">
  <dimension ref="C10:D16"/>
  <sheetViews>
    <sheetView topLeftCell="D1" zoomScale="116" zoomScaleNormal="70" workbookViewId="0">
      <selection activeCell="J5" sqref="J5"/>
    </sheetView>
  </sheetViews>
  <sheetFormatPr defaultRowHeight="13.8" x14ac:dyDescent="0.25"/>
  <cols>
    <col min="3" max="3" width="14.09765625" bestFit="1" customWidth="1"/>
    <col min="4" max="4" width="24.19921875" bestFit="1" customWidth="1"/>
  </cols>
  <sheetData>
    <row r="10" spans="3:4" x14ac:dyDescent="0.25">
      <c r="C10" s="2" t="s">
        <v>574</v>
      </c>
      <c r="D10" t="s">
        <v>579</v>
      </c>
    </row>
    <row r="11" spans="3:4" x14ac:dyDescent="0.25">
      <c r="C11" s="3" t="s">
        <v>29</v>
      </c>
      <c r="D11" s="4">
        <v>1470.874954191763</v>
      </c>
    </row>
    <row r="12" spans="3:4" x14ac:dyDescent="0.25">
      <c r="C12" s="3" t="s">
        <v>583</v>
      </c>
      <c r="D12" s="4">
        <v>1578.7054086319579</v>
      </c>
    </row>
    <row r="13" spans="3:4" x14ac:dyDescent="0.25">
      <c r="C13" s="3" t="s">
        <v>584</v>
      </c>
      <c r="D13" s="4">
        <v>1548.3719938425431</v>
      </c>
    </row>
    <row r="14" spans="3:4" x14ac:dyDescent="0.25">
      <c r="C14" s="3" t="s">
        <v>22</v>
      </c>
      <c r="D14" s="4">
        <v>1545.5437297235319</v>
      </c>
    </row>
    <row r="15" spans="3:4" x14ac:dyDescent="0.25">
      <c r="C15" s="3" t="s">
        <v>47</v>
      </c>
      <c r="D15" s="4">
        <v>1322.5794702656765</v>
      </c>
    </row>
    <row r="16" spans="3:4" x14ac:dyDescent="0.25">
      <c r="C16" s="3" t="s">
        <v>575</v>
      </c>
      <c r="D16" s="4">
        <v>1496.7748692015707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53D43-C5B6-4407-B241-E57D6DDF76B1}">
  <dimension ref="A1"/>
  <sheetViews>
    <sheetView workbookViewId="0"/>
  </sheetViews>
  <sheetFormatPr defaultRowHeight="13.8"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BBF29-D18C-42CD-90DA-E42A613B8072}">
  <dimension ref="B7:C14"/>
  <sheetViews>
    <sheetView topLeftCell="B1" zoomScale="109" workbookViewId="0">
      <selection activeCell="H54" sqref="H54"/>
    </sheetView>
  </sheetViews>
  <sheetFormatPr defaultRowHeight="13.8" x14ac:dyDescent="0.25"/>
  <cols>
    <col min="2" max="2" width="12.69921875" bestFit="1" customWidth="1"/>
    <col min="3" max="3" width="24.3984375" bestFit="1" customWidth="1"/>
  </cols>
  <sheetData>
    <row r="7" spans="2:3" x14ac:dyDescent="0.25">
      <c r="B7" s="2" t="s">
        <v>574</v>
      </c>
      <c r="C7" t="s">
        <v>579</v>
      </c>
    </row>
    <row r="8" spans="2:3" x14ac:dyDescent="0.25">
      <c r="B8" s="3" t="s">
        <v>39</v>
      </c>
      <c r="C8" s="4">
        <v>1430.4499436811611</v>
      </c>
    </row>
    <row r="9" spans="2:3" x14ac:dyDescent="0.25">
      <c r="B9" s="3" t="s">
        <v>20</v>
      </c>
      <c r="C9" s="4">
        <v>1594.5295409733603</v>
      </c>
    </row>
    <row r="10" spans="2:3" x14ac:dyDescent="0.25">
      <c r="B10" s="3" t="s">
        <v>27</v>
      </c>
      <c r="C10" s="4">
        <v>1374.7057593600559</v>
      </c>
    </row>
    <row r="11" spans="2:3" x14ac:dyDescent="0.25">
      <c r="B11" s="3" t="s">
        <v>56</v>
      </c>
      <c r="C11" s="4">
        <v>1457.5491888375075</v>
      </c>
    </row>
    <row r="12" spans="2:3" x14ac:dyDescent="0.25">
      <c r="B12" s="3" t="s">
        <v>46</v>
      </c>
      <c r="C12" s="4">
        <v>1560.853031040627</v>
      </c>
    </row>
    <row r="13" spans="2:3" x14ac:dyDescent="0.25">
      <c r="B13" s="3" t="s">
        <v>64</v>
      </c>
      <c r="C13" s="4">
        <v>1539.8153474376136</v>
      </c>
    </row>
    <row r="14" spans="2:3" x14ac:dyDescent="0.25">
      <c r="B14" s="3" t="s">
        <v>575</v>
      </c>
      <c r="C14" s="4">
        <v>1496.7748692015698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7D8E-6A56-4DBC-9135-5C1012307B5E}">
  <dimension ref="D10:E15"/>
  <sheetViews>
    <sheetView zoomScale="48" workbookViewId="0">
      <selection activeCell="J42" sqref="J42"/>
    </sheetView>
  </sheetViews>
  <sheetFormatPr defaultRowHeight="13.8" x14ac:dyDescent="0.25"/>
  <cols>
    <col min="4" max="4" width="18" bestFit="1" customWidth="1"/>
    <col min="5" max="5" width="13" bestFit="1" customWidth="1"/>
  </cols>
  <sheetData>
    <row r="10" spans="4:5" x14ac:dyDescent="0.25">
      <c r="D10" s="2" t="s">
        <v>574</v>
      </c>
      <c r="E10" t="s">
        <v>580</v>
      </c>
    </row>
    <row r="11" spans="4:5" x14ac:dyDescent="0.25">
      <c r="D11" s="3" t="s">
        <v>40</v>
      </c>
      <c r="E11" s="4">
        <v>1003.4899999999999</v>
      </c>
    </row>
    <row r="12" spans="4:5" x14ac:dyDescent="0.25">
      <c r="D12" s="3" t="s">
        <v>21</v>
      </c>
      <c r="E12" s="4">
        <v>893.28000000000009</v>
      </c>
    </row>
    <row r="13" spans="4:5" x14ac:dyDescent="0.25">
      <c r="D13" s="3" t="s">
        <v>28</v>
      </c>
      <c r="E13" s="4">
        <v>1010.6299999999999</v>
      </c>
    </row>
    <row r="14" spans="4:5" x14ac:dyDescent="0.25">
      <c r="D14" s="3" t="s">
        <v>34</v>
      </c>
      <c r="E14" s="4">
        <v>667.2</v>
      </c>
    </row>
    <row r="15" spans="4:5" x14ac:dyDescent="0.25">
      <c r="D15" s="3" t="s">
        <v>575</v>
      </c>
      <c r="E15" s="4">
        <v>3574.5999999999995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1ECE67-AD82-4D66-A75F-6BDE44BD3E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Agricultural_Crop_Yield</vt:lpstr>
      <vt:lpstr>Dashboard</vt:lpstr>
      <vt:lpstr>Sheet3</vt:lpstr>
      <vt:lpstr>Sheet4</vt:lpstr>
      <vt:lpstr>Pivot Table 9</vt:lpstr>
      <vt:lpstr>Pivot Table 4</vt:lpstr>
      <vt:lpstr>Pivot Table 6</vt:lpstr>
      <vt:lpstr>Sheet1</vt:lpstr>
      <vt:lpstr>Pivot Table 5</vt:lpstr>
      <vt:lpstr>Pivot Table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laxmanthorwat2005@outlook.com</dc:creator>
  <cp:lastModifiedBy>laxmanthorwat2005@outlook.com</cp:lastModifiedBy>
  <dcterms:created xsi:type="dcterms:W3CDTF">2026-09-23T12:22:18Z</dcterms:created>
  <dcterms:modified xsi:type="dcterms:W3CDTF">2026-09-27T22:29:44Z</dcterms:modified>
</cp:coreProperties>
</file>